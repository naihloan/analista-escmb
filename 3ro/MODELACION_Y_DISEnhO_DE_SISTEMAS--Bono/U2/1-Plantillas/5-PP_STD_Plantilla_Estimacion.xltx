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rnandobono/Dropbox/Docencia/Manuel Belgrano/Modelacion y Diseño de Sistemas/2018/Plantillas/"/>
    </mc:Choice>
  </mc:AlternateContent>
  <bookViews>
    <workbookView xWindow="240" yWindow="460" windowWidth="26220" windowHeight="16700" tabRatio="584"/>
  </bookViews>
  <sheets>
    <sheet name="Estimación de Tamaño" sheetId="5" r:id="rId1"/>
    <sheet name="Parámetros de Tamaño" sheetId="2" r:id="rId2"/>
    <sheet name="Estimación de Esfuerzo" sheetId="11" r:id="rId3"/>
    <sheet name="Parámetros de Esfuerzo" sheetId="6" r:id="rId4"/>
    <sheet name="Estimación de Tiempo" sheetId="12" r:id="rId5"/>
  </sheets>
  <definedNames>
    <definedName name="_xlnm.Print_Area" localSheetId="1">'Parámetros de Tamaño'!$1:$1048576</definedName>
    <definedName name="Complej.">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12" l="1"/>
  <c r="H13" i="12"/>
  <c r="G12" i="12"/>
  <c r="H12" i="12"/>
  <c r="G11" i="12"/>
  <c r="H11" i="12"/>
  <c r="G10" i="12"/>
  <c r="H10" i="12"/>
  <c r="G9" i="12"/>
  <c r="H9" i="12"/>
  <c r="G8" i="12"/>
  <c r="H8" i="12"/>
  <c r="G7" i="12"/>
  <c r="H7" i="12"/>
  <c r="G6" i="12"/>
  <c r="H6" i="12"/>
  <c r="G5" i="12"/>
  <c r="H5" i="12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5" i="11"/>
  <c r="M214" i="5"/>
  <c r="E214" i="11"/>
  <c r="C214" i="11"/>
  <c r="B214" i="11"/>
  <c r="M213" i="5"/>
  <c r="E213" i="11"/>
  <c r="C213" i="11"/>
  <c r="B213" i="11"/>
  <c r="M212" i="5"/>
  <c r="E212" i="11"/>
  <c r="C212" i="11"/>
  <c r="B212" i="11"/>
  <c r="M211" i="5"/>
  <c r="E211" i="11"/>
  <c r="C211" i="11"/>
  <c r="B211" i="11"/>
  <c r="M210" i="5"/>
  <c r="E210" i="11"/>
  <c r="C210" i="11"/>
  <c r="B210" i="11"/>
  <c r="M209" i="5"/>
  <c r="E209" i="11"/>
  <c r="C209" i="11"/>
  <c r="B209" i="11"/>
  <c r="M208" i="5"/>
  <c r="E208" i="11"/>
  <c r="C208" i="11"/>
  <c r="B208" i="11"/>
  <c r="M207" i="5"/>
  <c r="E207" i="11"/>
  <c r="C207" i="11"/>
  <c r="B207" i="11"/>
  <c r="M206" i="5"/>
  <c r="E206" i="11"/>
  <c r="C206" i="11"/>
  <c r="B206" i="11"/>
  <c r="M205" i="5"/>
  <c r="E205" i="11"/>
  <c r="C205" i="11"/>
  <c r="B205" i="11"/>
  <c r="M204" i="5"/>
  <c r="E204" i="11"/>
  <c r="C204" i="11"/>
  <c r="B204" i="11"/>
  <c r="M203" i="5"/>
  <c r="E203" i="11"/>
  <c r="C203" i="11"/>
  <c r="B203" i="11"/>
  <c r="M202" i="5"/>
  <c r="E202" i="11"/>
  <c r="C202" i="11"/>
  <c r="B202" i="11"/>
  <c r="M201" i="5"/>
  <c r="E201" i="11"/>
  <c r="C201" i="11"/>
  <c r="B201" i="11"/>
  <c r="M200" i="5"/>
  <c r="E200" i="11"/>
  <c r="C200" i="11"/>
  <c r="B200" i="11"/>
  <c r="M199" i="5"/>
  <c r="E199" i="11"/>
  <c r="C199" i="11"/>
  <c r="B199" i="11"/>
  <c r="M198" i="5"/>
  <c r="E198" i="11"/>
  <c r="C198" i="11"/>
  <c r="B198" i="11"/>
  <c r="M197" i="5"/>
  <c r="E197" i="11"/>
  <c r="C197" i="11"/>
  <c r="B197" i="11"/>
  <c r="M196" i="5"/>
  <c r="E196" i="11"/>
  <c r="C196" i="11"/>
  <c r="B196" i="11"/>
  <c r="M195" i="5"/>
  <c r="E195" i="11"/>
  <c r="C195" i="11"/>
  <c r="B195" i="11"/>
  <c r="M194" i="5"/>
  <c r="E194" i="11"/>
  <c r="C194" i="11"/>
  <c r="B194" i="11"/>
  <c r="M193" i="5"/>
  <c r="E193" i="11"/>
  <c r="C193" i="11"/>
  <c r="B193" i="11"/>
  <c r="M192" i="5"/>
  <c r="E192" i="11"/>
  <c r="C192" i="11"/>
  <c r="B192" i="11"/>
  <c r="M191" i="5"/>
  <c r="E191" i="11"/>
  <c r="C191" i="11"/>
  <c r="B191" i="11"/>
  <c r="M190" i="5"/>
  <c r="E190" i="11"/>
  <c r="C190" i="11"/>
  <c r="B190" i="11"/>
  <c r="M189" i="5"/>
  <c r="E189" i="11"/>
  <c r="C189" i="11"/>
  <c r="B189" i="11"/>
  <c r="M188" i="5"/>
  <c r="E188" i="11"/>
  <c r="C188" i="11"/>
  <c r="B188" i="11"/>
  <c r="M187" i="5"/>
  <c r="E187" i="11"/>
  <c r="C187" i="11"/>
  <c r="B187" i="11"/>
  <c r="M186" i="5"/>
  <c r="E186" i="11"/>
  <c r="C186" i="11"/>
  <c r="B186" i="11"/>
  <c r="M185" i="5"/>
  <c r="E185" i="11"/>
  <c r="C185" i="11"/>
  <c r="B185" i="11"/>
  <c r="M184" i="5"/>
  <c r="E184" i="11"/>
  <c r="C184" i="11"/>
  <c r="B184" i="11"/>
  <c r="M183" i="5"/>
  <c r="E183" i="11"/>
  <c r="C183" i="11"/>
  <c r="B183" i="11"/>
  <c r="M182" i="5"/>
  <c r="E182" i="11"/>
  <c r="C182" i="11"/>
  <c r="B182" i="11"/>
  <c r="M181" i="5"/>
  <c r="E181" i="11"/>
  <c r="C181" i="11"/>
  <c r="B181" i="11"/>
  <c r="M180" i="5"/>
  <c r="E180" i="11"/>
  <c r="C180" i="11"/>
  <c r="B180" i="11"/>
  <c r="M179" i="5"/>
  <c r="E179" i="11"/>
  <c r="C179" i="11"/>
  <c r="B179" i="11"/>
  <c r="M178" i="5"/>
  <c r="E178" i="11"/>
  <c r="C178" i="11"/>
  <c r="B178" i="11"/>
  <c r="M177" i="5"/>
  <c r="E177" i="11"/>
  <c r="C177" i="11"/>
  <c r="B177" i="11"/>
  <c r="M176" i="5"/>
  <c r="E176" i="11"/>
  <c r="C176" i="11"/>
  <c r="B176" i="11"/>
  <c r="M175" i="5"/>
  <c r="E175" i="11"/>
  <c r="C175" i="11"/>
  <c r="B175" i="11"/>
  <c r="M174" i="5"/>
  <c r="E174" i="11"/>
  <c r="C174" i="11"/>
  <c r="B174" i="11"/>
  <c r="M173" i="5"/>
  <c r="E173" i="11"/>
  <c r="C173" i="11"/>
  <c r="B173" i="11"/>
  <c r="M172" i="5"/>
  <c r="E172" i="11"/>
  <c r="C172" i="11"/>
  <c r="B172" i="11"/>
  <c r="M171" i="5"/>
  <c r="E171" i="11"/>
  <c r="C171" i="11"/>
  <c r="B171" i="11"/>
  <c r="M170" i="5"/>
  <c r="E170" i="11"/>
  <c r="C170" i="11"/>
  <c r="B170" i="11"/>
  <c r="M169" i="5"/>
  <c r="E169" i="11"/>
  <c r="C169" i="11"/>
  <c r="B169" i="11"/>
  <c r="M168" i="5"/>
  <c r="E168" i="11"/>
  <c r="C168" i="11"/>
  <c r="B168" i="11"/>
  <c r="M167" i="5"/>
  <c r="E167" i="11"/>
  <c r="C167" i="11"/>
  <c r="B167" i="11"/>
  <c r="M166" i="5"/>
  <c r="E166" i="11"/>
  <c r="C166" i="11"/>
  <c r="B166" i="11"/>
  <c r="M165" i="5"/>
  <c r="E165" i="11"/>
  <c r="C165" i="11"/>
  <c r="B165" i="11"/>
  <c r="M164" i="5"/>
  <c r="E164" i="11"/>
  <c r="C164" i="11"/>
  <c r="B164" i="11"/>
  <c r="M163" i="5"/>
  <c r="E163" i="11"/>
  <c r="C163" i="11"/>
  <c r="B163" i="11"/>
  <c r="M162" i="5"/>
  <c r="E162" i="11"/>
  <c r="C162" i="11"/>
  <c r="B162" i="11"/>
  <c r="M161" i="5"/>
  <c r="E161" i="11"/>
  <c r="C161" i="11"/>
  <c r="B161" i="11"/>
  <c r="M160" i="5"/>
  <c r="E160" i="11"/>
  <c r="C160" i="11"/>
  <c r="B160" i="11"/>
  <c r="M159" i="5"/>
  <c r="E159" i="11"/>
  <c r="C159" i="11"/>
  <c r="B159" i="11"/>
  <c r="M158" i="5"/>
  <c r="E158" i="11"/>
  <c r="C158" i="11"/>
  <c r="B158" i="11"/>
  <c r="M157" i="5"/>
  <c r="E157" i="11"/>
  <c r="C157" i="11"/>
  <c r="B157" i="11"/>
  <c r="M156" i="5"/>
  <c r="E156" i="11"/>
  <c r="C156" i="11"/>
  <c r="B156" i="11"/>
  <c r="M155" i="5"/>
  <c r="E155" i="11"/>
  <c r="C155" i="11"/>
  <c r="B155" i="11"/>
  <c r="M154" i="5"/>
  <c r="E154" i="11"/>
  <c r="C154" i="11"/>
  <c r="B154" i="11"/>
  <c r="M153" i="5"/>
  <c r="E153" i="11"/>
  <c r="C153" i="11"/>
  <c r="B153" i="11"/>
  <c r="M152" i="5"/>
  <c r="E152" i="11"/>
  <c r="C152" i="11"/>
  <c r="B152" i="11"/>
  <c r="M151" i="5"/>
  <c r="E151" i="11"/>
  <c r="C151" i="11"/>
  <c r="B151" i="11"/>
  <c r="M150" i="5"/>
  <c r="E150" i="11"/>
  <c r="C150" i="11"/>
  <c r="B150" i="11"/>
  <c r="M149" i="5"/>
  <c r="E149" i="11"/>
  <c r="C149" i="11"/>
  <c r="B149" i="11"/>
  <c r="M148" i="5"/>
  <c r="E148" i="11"/>
  <c r="C148" i="11"/>
  <c r="B148" i="11"/>
  <c r="M147" i="5"/>
  <c r="E147" i="11"/>
  <c r="C147" i="11"/>
  <c r="B147" i="11"/>
  <c r="M146" i="5"/>
  <c r="E146" i="11"/>
  <c r="C146" i="11"/>
  <c r="B146" i="11"/>
  <c r="M145" i="5"/>
  <c r="E145" i="11"/>
  <c r="C145" i="11"/>
  <c r="B145" i="11"/>
  <c r="M144" i="5"/>
  <c r="E144" i="11"/>
  <c r="C144" i="11"/>
  <c r="B144" i="11"/>
  <c r="M143" i="5"/>
  <c r="E143" i="11"/>
  <c r="C143" i="11"/>
  <c r="B143" i="11"/>
  <c r="M142" i="5"/>
  <c r="E142" i="11"/>
  <c r="C142" i="11"/>
  <c r="B142" i="11"/>
  <c r="M141" i="5"/>
  <c r="E141" i="11"/>
  <c r="C141" i="11"/>
  <c r="B141" i="11"/>
  <c r="M140" i="5"/>
  <c r="E140" i="11"/>
  <c r="C140" i="11"/>
  <c r="B140" i="11"/>
  <c r="M139" i="5"/>
  <c r="E139" i="11"/>
  <c r="C139" i="11"/>
  <c r="B139" i="11"/>
  <c r="M138" i="5"/>
  <c r="E138" i="11"/>
  <c r="C138" i="11"/>
  <c r="B138" i="11"/>
  <c r="M137" i="5"/>
  <c r="E137" i="11"/>
  <c r="C137" i="11"/>
  <c r="B137" i="11"/>
  <c r="M136" i="5"/>
  <c r="E136" i="11"/>
  <c r="C136" i="11"/>
  <c r="B136" i="11"/>
  <c r="M135" i="5"/>
  <c r="E135" i="11"/>
  <c r="C135" i="11"/>
  <c r="B135" i="11"/>
  <c r="M134" i="5"/>
  <c r="E134" i="11"/>
  <c r="C134" i="11"/>
  <c r="B134" i="11"/>
  <c r="M133" i="5"/>
  <c r="E133" i="11"/>
  <c r="C133" i="11"/>
  <c r="B133" i="11"/>
  <c r="M132" i="5"/>
  <c r="E132" i="11"/>
  <c r="C132" i="11"/>
  <c r="B132" i="11"/>
  <c r="M131" i="5"/>
  <c r="E131" i="11"/>
  <c r="C131" i="11"/>
  <c r="B131" i="11"/>
  <c r="M130" i="5"/>
  <c r="E130" i="11"/>
  <c r="C130" i="11"/>
  <c r="B130" i="11"/>
  <c r="M129" i="5"/>
  <c r="E129" i="11"/>
  <c r="C129" i="11"/>
  <c r="B129" i="11"/>
  <c r="M128" i="5"/>
  <c r="E128" i="11"/>
  <c r="C128" i="11"/>
  <c r="B128" i="11"/>
  <c r="M127" i="5"/>
  <c r="E127" i="11"/>
  <c r="C127" i="11"/>
  <c r="B127" i="11"/>
  <c r="M126" i="5"/>
  <c r="E126" i="11"/>
  <c r="C126" i="11"/>
  <c r="B126" i="11"/>
  <c r="M125" i="5"/>
  <c r="E125" i="11"/>
  <c r="C125" i="11"/>
  <c r="B125" i="11"/>
  <c r="M124" i="5"/>
  <c r="E124" i="11"/>
  <c r="C124" i="11"/>
  <c r="B124" i="11"/>
  <c r="M123" i="5"/>
  <c r="E123" i="11"/>
  <c r="C123" i="11"/>
  <c r="B123" i="11"/>
  <c r="M122" i="5"/>
  <c r="E122" i="11"/>
  <c r="C122" i="11"/>
  <c r="B122" i="11"/>
  <c r="M121" i="5"/>
  <c r="E121" i="11"/>
  <c r="C121" i="11"/>
  <c r="B121" i="11"/>
  <c r="M120" i="5"/>
  <c r="E120" i="11"/>
  <c r="C120" i="11"/>
  <c r="B120" i="11"/>
  <c r="M119" i="5"/>
  <c r="E119" i="11"/>
  <c r="C119" i="11"/>
  <c r="B119" i="11"/>
  <c r="M118" i="5"/>
  <c r="E118" i="11"/>
  <c r="C118" i="11"/>
  <c r="B118" i="11"/>
  <c r="M117" i="5"/>
  <c r="E117" i="11"/>
  <c r="C117" i="11"/>
  <c r="B117" i="11"/>
  <c r="M116" i="5"/>
  <c r="E116" i="11"/>
  <c r="C116" i="11"/>
  <c r="B116" i="11"/>
  <c r="M115" i="5"/>
  <c r="E115" i="11"/>
  <c r="C115" i="11"/>
  <c r="B115" i="11"/>
  <c r="M114" i="5"/>
  <c r="E114" i="11"/>
  <c r="C114" i="11"/>
  <c r="B114" i="11"/>
  <c r="M113" i="5"/>
  <c r="E113" i="11"/>
  <c r="C113" i="11"/>
  <c r="B113" i="11"/>
  <c r="M112" i="5"/>
  <c r="E112" i="11"/>
  <c r="C112" i="11"/>
  <c r="B112" i="11"/>
  <c r="M111" i="5"/>
  <c r="E111" i="11"/>
  <c r="C111" i="11"/>
  <c r="B111" i="11"/>
  <c r="M110" i="5"/>
  <c r="E110" i="11"/>
  <c r="C110" i="11"/>
  <c r="B110" i="11"/>
  <c r="M109" i="5"/>
  <c r="E109" i="11"/>
  <c r="C109" i="11"/>
  <c r="B109" i="11"/>
  <c r="M108" i="5"/>
  <c r="E108" i="11"/>
  <c r="C108" i="11"/>
  <c r="B108" i="11"/>
  <c r="M107" i="5"/>
  <c r="E107" i="11"/>
  <c r="C107" i="11"/>
  <c r="B107" i="11"/>
  <c r="M106" i="5"/>
  <c r="E106" i="11"/>
  <c r="C106" i="11"/>
  <c r="B106" i="11"/>
  <c r="M105" i="5"/>
  <c r="E105" i="11"/>
  <c r="C105" i="11"/>
  <c r="B105" i="11"/>
  <c r="M104" i="5"/>
  <c r="E104" i="11"/>
  <c r="C104" i="11"/>
  <c r="B104" i="11"/>
  <c r="M103" i="5"/>
  <c r="E103" i="11"/>
  <c r="C103" i="11"/>
  <c r="B103" i="11"/>
  <c r="M102" i="5"/>
  <c r="E102" i="11"/>
  <c r="C102" i="11"/>
  <c r="B102" i="11"/>
  <c r="M101" i="5"/>
  <c r="E101" i="11"/>
  <c r="C101" i="11"/>
  <c r="B101" i="11"/>
  <c r="M100" i="5"/>
  <c r="E100" i="11"/>
  <c r="C100" i="11"/>
  <c r="B100" i="11"/>
  <c r="M99" i="5"/>
  <c r="E99" i="11"/>
  <c r="C99" i="11"/>
  <c r="B99" i="11"/>
  <c r="M98" i="5"/>
  <c r="E98" i="11"/>
  <c r="C98" i="11"/>
  <c r="B98" i="11"/>
  <c r="M97" i="5"/>
  <c r="E97" i="11"/>
  <c r="C97" i="11"/>
  <c r="B97" i="11"/>
  <c r="M96" i="5"/>
  <c r="E96" i="11"/>
  <c r="C96" i="11"/>
  <c r="B96" i="11"/>
  <c r="M95" i="5"/>
  <c r="E95" i="11"/>
  <c r="C95" i="11"/>
  <c r="B95" i="11"/>
  <c r="M94" i="5"/>
  <c r="E94" i="11"/>
  <c r="C94" i="11"/>
  <c r="B94" i="11"/>
  <c r="M93" i="5"/>
  <c r="E93" i="11"/>
  <c r="C93" i="11"/>
  <c r="B93" i="11"/>
  <c r="M92" i="5"/>
  <c r="E92" i="11"/>
  <c r="C92" i="11"/>
  <c r="B92" i="11"/>
  <c r="M91" i="5"/>
  <c r="E91" i="11"/>
  <c r="C91" i="11"/>
  <c r="B91" i="11"/>
  <c r="M90" i="5"/>
  <c r="E90" i="11"/>
  <c r="C90" i="11"/>
  <c r="B90" i="11"/>
  <c r="M89" i="5"/>
  <c r="E89" i="11"/>
  <c r="C89" i="11"/>
  <c r="B89" i="11"/>
  <c r="M88" i="5"/>
  <c r="E88" i="11"/>
  <c r="C88" i="11"/>
  <c r="B88" i="11"/>
  <c r="M87" i="5"/>
  <c r="E87" i="11"/>
  <c r="C87" i="11"/>
  <c r="B87" i="11"/>
  <c r="M86" i="5"/>
  <c r="E86" i="11"/>
  <c r="C86" i="11"/>
  <c r="B86" i="11"/>
  <c r="M85" i="5"/>
  <c r="E85" i="11"/>
  <c r="C85" i="11"/>
  <c r="B85" i="11"/>
  <c r="M84" i="5"/>
  <c r="E84" i="11"/>
  <c r="C84" i="11"/>
  <c r="B84" i="11"/>
  <c r="M83" i="5"/>
  <c r="E83" i="11"/>
  <c r="C83" i="11"/>
  <c r="B83" i="11"/>
  <c r="M82" i="5"/>
  <c r="E82" i="11"/>
  <c r="C82" i="11"/>
  <c r="B82" i="11"/>
  <c r="M81" i="5"/>
  <c r="E81" i="11"/>
  <c r="C81" i="11"/>
  <c r="B81" i="11"/>
  <c r="M80" i="5"/>
  <c r="E80" i="11"/>
  <c r="C80" i="11"/>
  <c r="B80" i="11"/>
  <c r="M79" i="5"/>
  <c r="E79" i="11"/>
  <c r="C79" i="11"/>
  <c r="B79" i="11"/>
  <c r="M78" i="5"/>
  <c r="E78" i="11"/>
  <c r="C78" i="11"/>
  <c r="B78" i="11"/>
  <c r="M77" i="5"/>
  <c r="E77" i="11"/>
  <c r="C77" i="11"/>
  <c r="B77" i="11"/>
  <c r="M76" i="5"/>
  <c r="E76" i="11"/>
  <c r="C76" i="11"/>
  <c r="B76" i="11"/>
  <c r="M75" i="5"/>
  <c r="E75" i="11"/>
  <c r="C75" i="11"/>
  <c r="B75" i="11"/>
  <c r="M74" i="5"/>
  <c r="E74" i="11"/>
  <c r="C74" i="11"/>
  <c r="B74" i="11"/>
  <c r="M73" i="5"/>
  <c r="E73" i="11"/>
  <c r="C73" i="11"/>
  <c r="B73" i="11"/>
  <c r="M72" i="5"/>
  <c r="E72" i="11"/>
  <c r="C72" i="11"/>
  <c r="B72" i="11"/>
  <c r="M71" i="5"/>
  <c r="E71" i="11"/>
  <c r="C71" i="11"/>
  <c r="B71" i="11"/>
  <c r="M70" i="5"/>
  <c r="E70" i="11"/>
  <c r="C70" i="11"/>
  <c r="B70" i="11"/>
  <c r="M69" i="5"/>
  <c r="E69" i="11"/>
  <c r="C69" i="11"/>
  <c r="B69" i="11"/>
  <c r="M68" i="5"/>
  <c r="E68" i="11"/>
  <c r="C68" i="11"/>
  <c r="B68" i="11"/>
  <c r="M67" i="5"/>
  <c r="E67" i="11"/>
  <c r="C67" i="11"/>
  <c r="B67" i="11"/>
  <c r="M66" i="5"/>
  <c r="E66" i="11"/>
  <c r="C66" i="11"/>
  <c r="B66" i="11"/>
  <c r="M65" i="5"/>
  <c r="E65" i="11"/>
  <c r="C65" i="11"/>
  <c r="B65" i="11"/>
  <c r="M64" i="5"/>
  <c r="E64" i="11"/>
  <c r="C64" i="11"/>
  <c r="B64" i="11"/>
  <c r="M63" i="5"/>
  <c r="E63" i="11"/>
  <c r="C63" i="11"/>
  <c r="B63" i="11"/>
  <c r="M62" i="5"/>
  <c r="E62" i="11"/>
  <c r="C62" i="11"/>
  <c r="B62" i="11"/>
  <c r="M61" i="5"/>
  <c r="E61" i="11"/>
  <c r="C61" i="11"/>
  <c r="B61" i="11"/>
  <c r="M60" i="5"/>
  <c r="E60" i="11"/>
  <c r="C60" i="11"/>
  <c r="B60" i="11"/>
  <c r="M59" i="5"/>
  <c r="E59" i="11"/>
  <c r="C59" i="11"/>
  <c r="B59" i="11"/>
  <c r="M58" i="5"/>
  <c r="E58" i="11"/>
  <c r="C58" i="11"/>
  <c r="B58" i="11"/>
  <c r="M57" i="5"/>
  <c r="E57" i="11"/>
  <c r="C57" i="11"/>
  <c r="B57" i="11"/>
  <c r="M56" i="5"/>
  <c r="E56" i="11"/>
  <c r="C56" i="11"/>
  <c r="B56" i="11"/>
  <c r="M55" i="5"/>
  <c r="E55" i="11"/>
  <c r="C55" i="11"/>
  <c r="B55" i="11"/>
  <c r="M54" i="5"/>
  <c r="E54" i="11"/>
  <c r="C54" i="11"/>
  <c r="B54" i="11"/>
  <c r="M53" i="5"/>
  <c r="E53" i="11"/>
  <c r="C53" i="11"/>
  <c r="B53" i="11"/>
  <c r="M52" i="5"/>
  <c r="E52" i="11"/>
  <c r="C52" i="11"/>
  <c r="B52" i="11"/>
  <c r="M51" i="5"/>
  <c r="E51" i="11"/>
  <c r="C51" i="11"/>
  <c r="B51" i="11"/>
  <c r="M50" i="5"/>
  <c r="E50" i="11"/>
  <c r="C50" i="11"/>
  <c r="B50" i="11"/>
  <c r="M49" i="5"/>
  <c r="E49" i="11"/>
  <c r="C49" i="11"/>
  <c r="B49" i="11"/>
  <c r="M48" i="5"/>
  <c r="E48" i="11"/>
  <c r="C48" i="11"/>
  <c r="B48" i="11"/>
  <c r="M47" i="5"/>
  <c r="E47" i="11"/>
  <c r="C47" i="11"/>
  <c r="B47" i="11"/>
  <c r="M46" i="5"/>
  <c r="E46" i="11"/>
  <c r="C46" i="11"/>
  <c r="B46" i="11"/>
  <c r="M45" i="5"/>
  <c r="E45" i="11"/>
  <c r="C45" i="11"/>
  <c r="B45" i="11"/>
  <c r="M44" i="5"/>
  <c r="E44" i="11"/>
  <c r="C44" i="11"/>
  <c r="B44" i="11"/>
  <c r="M43" i="5"/>
  <c r="E43" i="11"/>
  <c r="C43" i="11"/>
  <c r="B43" i="11"/>
  <c r="M42" i="5"/>
  <c r="E42" i="11"/>
  <c r="C42" i="11"/>
  <c r="B42" i="11"/>
  <c r="M41" i="5"/>
  <c r="E41" i="11"/>
  <c r="C41" i="11"/>
  <c r="B41" i="11"/>
  <c r="M40" i="5"/>
  <c r="E40" i="11"/>
  <c r="C40" i="11"/>
  <c r="B40" i="11"/>
  <c r="M39" i="5"/>
  <c r="E39" i="11"/>
  <c r="C39" i="11"/>
  <c r="B39" i="11"/>
  <c r="M38" i="5"/>
  <c r="E38" i="11"/>
  <c r="C38" i="11"/>
  <c r="B38" i="11"/>
  <c r="M37" i="5"/>
  <c r="E37" i="11"/>
  <c r="C37" i="11"/>
  <c r="B37" i="11"/>
  <c r="M36" i="5"/>
  <c r="E36" i="11"/>
  <c r="C36" i="11"/>
  <c r="B36" i="11"/>
  <c r="M35" i="5"/>
  <c r="E35" i="11"/>
  <c r="C35" i="11"/>
  <c r="B35" i="11"/>
  <c r="M34" i="5"/>
  <c r="E34" i="11"/>
  <c r="C34" i="11"/>
  <c r="B34" i="11"/>
  <c r="M33" i="5"/>
  <c r="E33" i="11"/>
  <c r="C33" i="11"/>
  <c r="B33" i="11"/>
  <c r="M32" i="5"/>
  <c r="E32" i="11"/>
  <c r="C32" i="11"/>
  <c r="B32" i="11"/>
  <c r="M31" i="5"/>
  <c r="E31" i="11"/>
  <c r="C31" i="11"/>
  <c r="B31" i="11"/>
  <c r="M30" i="5"/>
  <c r="E30" i="11"/>
  <c r="C30" i="11"/>
  <c r="B30" i="11"/>
  <c r="M29" i="5"/>
  <c r="E29" i="11"/>
  <c r="C29" i="11"/>
  <c r="B29" i="11"/>
  <c r="M28" i="5"/>
  <c r="E28" i="11"/>
  <c r="C28" i="11"/>
  <c r="B28" i="11"/>
  <c r="M27" i="5"/>
  <c r="E27" i="11"/>
  <c r="C27" i="11"/>
  <c r="B27" i="11"/>
  <c r="M26" i="5"/>
  <c r="E26" i="11"/>
  <c r="C26" i="11"/>
  <c r="B26" i="11"/>
  <c r="M25" i="5"/>
  <c r="E25" i="11"/>
  <c r="C25" i="11"/>
  <c r="B25" i="11"/>
  <c r="M24" i="5"/>
  <c r="E24" i="11"/>
  <c r="C24" i="11"/>
  <c r="B24" i="11"/>
  <c r="M23" i="5"/>
  <c r="E23" i="11"/>
  <c r="C23" i="11"/>
  <c r="B23" i="11"/>
  <c r="M22" i="5"/>
  <c r="E22" i="11"/>
  <c r="C22" i="11"/>
  <c r="B22" i="11"/>
  <c r="M21" i="5"/>
  <c r="E21" i="11"/>
  <c r="C21" i="11"/>
  <c r="B21" i="11"/>
  <c r="M20" i="5"/>
  <c r="E20" i="11"/>
  <c r="C20" i="11"/>
  <c r="B20" i="11"/>
  <c r="M19" i="5"/>
  <c r="E19" i="11"/>
  <c r="C19" i="11"/>
  <c r="B19" i="11"/>
  <c r="M18" i="5"/>
  <c r="E18" i="11"/>
  <c r="C18" i="11"/>
  <c r="B18" i="11"/>
  <c r="M17" i="5"/>
  <c r="E17" i="11"/>
  <c r="C17" i="11"/>
  <c r="B17" i="11"/>
  <c r="M16" i="5"/>
  <c r="E16" i="11"/>
  <c r="C16" i="11"/>
  <c r="B16" i="11"/>
  <c r="M15" i="5"/>
  <c r="E15" i="11"/>
  <c r="C15" i="11"/>
  <c r="B15" i="11"/>
  <c r="M14" i="5"/>
  <c r="E14" i="11"/>
  <c r="C14" i="11"/>
  <c r="B14" i="11"/>
  <c r="M13" i="5"/>
  <c r="E13" i="11"/>
  <c r="C13" i="11"/>
  <c r="B13" i="11"/>
  <c r="M12" i="5"/>
  <c r="E12" i="11"/>
  <c r="C12" i="11"/>
  <c r="B12" i="11"/>
  <c r="M11" i="5"/>
  <c r="E11" i="11"/>
  <c r="C11" i="11"/>
  <c r="B11" i="11"/>
  <c r="M10" i="5"/>
  <c r="E10" i="11"/>
  <c r="C10" i="11"/>
  <c r="B10" i="11"/>
  <c r="M9" i="5"/>
  <c r="E9" i="11"/>
  <c r="C9" i="11"/>
  <c r="B9" i="11"/>
  <c r="M8" i="5"/>
  <c r="E8" i="11"/>
  <c r="C8" i="11"/>
  <c r="B8" i="11"/>
  <c r="M7" i="5"/>
  <c r="E7" i="11"/>
  <c r="C7" i="11"/>
  <c r="B7" i="11"/>
  <c r="M6" i="5"/>
  <c r="E6" i="11"/>
  <c r="C6" i="11"/>
  <c r="B6" i="11"/>
  <c r="M5" i="5"/>
  <c r="E5" i="11"/>
  <c r="H3" i="11"/>
  <c r="M3" i="5"/>
  <c r="C5" i="11"/>
  <c r="B5" i="11"/>
  <c r="M215" i="5"/>
  <c r="D13" i="12"/>
  <c r="D12" i="12"/>
  <c r="D11" i="12"/>
  <c r="D10" i="12"/>
  <c r="D9" i="12"/>
  <c r="D8" i="12"/>
  <c r="D7" i="12"/>
  <c r="D6" i="12"/>
  <c r="D5" i="12"/>
  <c r="E13" i="12"/>
  <c r="E12" i="12"/>
  <c r="E11" i="12"/>
  <c r="E10" i="12"/>
  <c r="E9" i="12"/>
  <c r="E8" i="12"/>
  <c r="E7" i="12"/>
  <c r="E6" i="12"/>
  <c r="E5" i="12"/>
  <c r="H3" i="12"/>
</calcChain>
</file>

<file path=xl/comments1.xml><?xml version="1.0" encoding="utf-8"?>
<comments xmlns="http://schemas.openxmlformats.org/spreadsheetml/2006/main">
  <authors>
    <author>Vates S.A</author>
    <author>Judith Meles</author>
  </authors>
  <commentList>
    <comment ref="M3" authorId="0">
      <text>
        <r>
          <rPr>
            <sz val="9"/>
            <color indexed="81"/>
            <rFont val="Tahoma"/>
            <family val="2"/>
          </rPr>
          <t xml:space="preserve">Este valor se obtiene de la sumatoria de todos los puntos de estimación de los casos de uso listados.
</t>
        </r>
      </text>
    </comment>
    <comment ref="D4" authorId="1">
      <text>
        <r>
          <rPr>
            <b/>
            <sz val="12"/>
            <color indexed="20"/>
            <rFont val="Tahoma"/>
            <family val="2"/>
          </rPr>
          <t>Clasificación (C):</t>
        </r>
        <r>
          <rPr>
            <sz val="9"/>
            <color indexed="81"/>
            <rFont val="Tahoma"/>
            <family val="2"/>
          </rPr>
          <t xml:space="preserve">
  El parámetro a ingresar depende de la complejidad del mismo. 
  Los valores posibles son:
</t>
        </r>
        <r>
          <rPr>
            <b/>
            <sz val="8"/>
            <color indexed="81"/>
            <rFont val="Tahoma"/>
          </rPr>
          <t xml:space="preserve">     1,00=Caso de Uso Simple
     2,50=Caso de Uso Mediano
     5,00=Caso de Uso Complejo
     7,00= Caso de Uso Muy Complejo
    12,00=Caso de Uso Extremadamente Comp
     </t>
        </r>
      </text>
    </comment>
    <comment ref="E4" authorId="1">
      <text>
        <r>
          <rPr>
            <b/>
            <sz val="12"/>
            <color indexed="20"/>
            <rFont val="Tahoma"/>
            <family val="2"/>
          </rPr>
          <t>Actor Visual (AV):</t>
        </r>
        <r>
          <rPr>
            <sz val="9"/>
            <color indexed="81"/>
            <rFont val="Tahoma"/>
            <family val="2"/>
          </rPr>
          <t xml:space="preserve">
  El parámetro a ingresar es el resultante
de multiplicar la cantidad de actores
visuales que tendrá el use case por el
parámetro asociado al mismo.
</t>
        </r>
        <r>
          <rPr>
            <b/>
            <sz val="8"/>
            <color indexed="81"/>
            <rFont val="Tahoma"/>
            <family val="2"/>
          </rPr>
          <t xml:space="preserve">  1= AV= Actor Visual
Fórmula:
</t>
        </r>
        <r>
          <rPr>
            <b/>
            <sz val="8"/>
            <color indexed="20"/>
            <rFont val="Tahoma"/>
            <family val="2"/>
          </rPr>
          <t xml:space="preserve">   AV= 1 * Cant_AV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F4" authorId="1">
      <text>
        <r>
          <rPr>
            <b/>
            <sz val="12"/>
            <color indexed="20"/>
            <rFont val="Tahoma"/>
            <family val="2"/>
          </rPr>
          <t>Actor de Softwarwre (ASW):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El parámetro a ingresar es el resultante
de multiplicar la cantidad de actores de
software que tendrá el use case, clasifi-
cados por tipo, por el parámetro asociado
a cada uno de ellos.
</t>
        </r>
        <r>
          <rPr>
            <b/>
            <sz val="8"/>
            <color indexed="81"/>
            <rFont val="Tahoma"/>
            <family val="2"/>
          </rPr>
          <t xml:space="preserve">   1= SCB= Actor Software Complejidad Baja
   3= SCM= Actor Software Complejidad Media
   6= SCA= Actor Software Complejidad Alta
Fórmula:
 </t>
        </r>
        <r>
          <rPr>
            <b/>
            <sz val="8"/>
            <color indexed="20"/>
            <rFont val="Tahoma"/>
            <family val="2"/>
          </rPr>
          <t>ASW= 1*Cant_SCB + 3*Cant_SCM + 6*Cant_SCA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G4" authorId="1">
      <text>
        <r>
          <rPr>
            <b/>
            <sz val="12"/>
            <color indexed="20"/>
            <rFont val="Tahoma"/>
            <family val="2"/>
          </rPr>
          <t>Actor de Hardware (AHW):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  El parámetro a ingresar es el resultante
de multiplicar la cantidad de actores de
hardware que tendrá el use case, clasifi-
cados por tipo, por el parámetro asociado
a cada uno de ellos.
</t>
        </r>
        <r>
          <rPr>
            <b/>
            <sz val="8"/>
            <color indexed="81"/>
            <rFont val="Tahoma"/>
            <family val="2"/>
          </rPr>
          <t xml:space="preserve">   1= HCB= Actor Hardware Complejidad Baja
   3= HCM= Actor Hardware Complejidad Media
   6= HCA= Actor Hardware Complejidad Alta
Fórmula:
</t>
        </r>
        <r>
          <rPr>
            <b/>
            <sz val="8"/>
            <color indexed="20"/>
            <rFont val="Tahoma"/>
            <family val="2"/>
          </rPr>
          <t xml:space="preserve"> AHW=  1*Cant_HBC + 3*Cant_HCM + 6*Cant_HCA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H4" authorId="1">
      <text>
        <r>
          <rPr>
            <b/>
            <sz val="12"/>
            <color indexed="20"/>
            <rFont val="Tahoma"/>
            <family val="2"/>
          </rPr>
          <t>Tecnología (T):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Tecnologia que se utilizará para imple-
mentar el caso de uso.
   Los valores posibles son:
</t>
        </r>
        <r>
          <rPr>
            <b/>
            <sz val="8"/>
            <color indexed="81"/>
            <rFont val="Tahoma"/>
          </rPr>
          <t xml:space="preserve">    1= Visual Basic
    3= C / C++
    2= .Net
    2= J2EE-Thin Client
    1= J2EE-Fat Client
    2= JAVA
    2=  ASP
    3= Tecnología JSP
    1= Tecnología 4GL
    1= Tecnología Forms
</t>
        </r>
      </text>
    </comment>
    <comment ref="I4" authorId="1">
      <text>
        <r>
          <rPr>
            <b/>
            <sz val="12"/>
            <color indexed="20"/>
            <rFont val="Tahoma"/>
            <family val="2"/>
          </rPr>
          <t>Optimización (O):</t>
        </r>
        <r>
          <rPr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Optimización que será implementada en
el use case.
  Los valores posibles son:
</t>
        </r>
        <r>
          <rPr>
            <b/>
            <sz val="8"/>
            <color indexed="81"/>
            <rFont val="Tahoma"/>
            <family val="2"/>
          </rPr>
          <t xml:space="preserve">    1,2= Optimización Performance
    1,1= Optimización Concurrencia
    1,3= Optimización Ambas
    1,0= Sin Optimización
</t>
        </r>
      </text>
    </comment>
    <comment ref="J4" authorId="1">
      <text>
        <r>
          <rPr>
            <b/>
            <sz val="12"/>
            <color indexed="20"/>
            <rFont val="Tahoma"/>
            <family val="2"/>
          </rPr>
          <t>Reusabilidad (R):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Nivel de Reusabilidad con el cual se
Implementará el caso de uso
  Los valores posibles son:</t>
        </r>
        <r>
          <rPr>
            <b/>
            <sz val="8"/>
            <color indexed="81"/>
            <rFont val="Tahoma"/>
          </rPr>
          <t xml:space="preserve">
     0,20= Alta
     0,50= Media
     0,85= Escasa
     1,00= Nula
</t>
        </r>
      </text>
    </comment>
    <comment ref="K4" authorId="1">
      <text>
        <r>
          <rPr>
            <b/>
            <sz val="12"/>
            <color indexed="20"/>
            <rFont val="Tahoma"/>
            <family val="2"/>
          </rPr>
          <t>Salidas (Sal):</t>
        </r>
        <r>
          <rPr>
            <b/>
            <sz val="8"/>
            <color indexed="20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  Totalice la cantidad de salidas que
tendrá el caso de uso considerado.
</t>
        </r>
      </text>
    </comment>
    <comment ref="L4" authorId="1">
      <text>
        <r>
          <rPr>
            <b/>
            <sz val="12"/>
            <color indexed="20"/>
            <rFont val="Tahoma"/>
            <family val="2"/>
          </rPr>
          <t>Dominio (Dom):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Conocimiento que se posee del
Dominio del Prolema.
  Los valores posibles son:
</t>
        </r>
        <r>
          <rPr>
            <b/>
            <sz val="8"/>
            <color indexed="81"/>
            <rFont val="Tahoma"/>
          </rPr>
          <t xml:space="preserve">     1,00= Conocimiento Alto
     1,50= Conocimiento Medio
     2,00= Conocimiento Escaso
     2,50  Conocimiento Nulo
</t>
        </r>
      </text>
    </comment>
    <comment ref="M4" authorId="1">
      <text>
        <r>
          <rPr>
            <b/>
            <sz val="8"/>
            <color indexed="81"/>
            <rFont val="Tahoma"/>
          </rPr>
          <t xml:space="preserve">Fórmula:
</t>
        </r>
        <r>
          <rPr>
            <b/>
            <sz val="8"/>
            <color indexed="20"/>
            <rFont val="Tahoma"/>
            <family val="2"/>
          </rPr>
          <t xml:space="preserve">  PE=  (C+AV+ASW+AHW+S) * T*O*R*DOM</t>
        </r>
      </text>
    </comment>
    <comment ref="N4" authorId="1">
      <text>
        <r>
          <rPr>
            <b/>
            <sz val="12"/>
            <color indexed="20"/>
            <rFont val="Tahoma"/>
            <family val="2"/>
          </rPr>
          <t>Particulares:</t>
        </r>
        <r>
          <rPr>
            <b/>
            <sz val="8"/>
            <color indexed="20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Cualquier asunción especial para la estimación del caso de uso particular.</t>
        </r>
      </text>
    </comment>
    <comment ref="O4" authorId="1">
      <text>
        <r>
          <rPr>
            <b/>
            <sz val="12"/>
            <color indexed="20"/>
            <rFont val="Tahoma"/>
            <family val="2"/>
          </rPr>
          <t>Generales: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>Asunciones genéricas para estimación del tamaño de los casos de uso.</t>
        </r>
      </text>
    </comment>
  </commentList>
</comments>
</file>

<file path=xl/comments2.xml><?xml version="1.0" encoding="utf-8"?>
<comments xmlns="http://schemas.openxmlformats.org/spreadsheetml/2006/main">
  <authors>
    <author>Vates S.A</author>
    <author>Judith Meles</author>
  </authors>
  <commentList>
    <comment ref="H3" authorId="0">
      <text>
        <r>
          <rPr>
            <sz val="9"/>
            <color indexed="81"/>
            <rFont val="Tahoma"/>
            <family val="2"/>
          </rPr>
          <t>Total de tiempo en horas</t>
        </r>
        <r>
          <rPr>
            <sz val="8"/>
            <color indexed="81"/>
            <rFont val="Tahoma"/>
          </rPr>
          <t xml:space="preserve">
</t>
        </r>
      </text>
    </comment>
    <comment ref="E4" authorId="1">
      <text>
        <r>
          <rPr>
            <b/>
            <sz val="12"/>
            <color indexed="20"/>
            <rFont val="Tahoma"/>
            <family val="2"/>
          </rPr>
          <t>Puntos de Estimación (PE):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Puntos de Estimación; el valor es tomado
de la tabla </t>
        </r>
        <r>
          <rPr>
            <i/>
            <sz val="9"/>
            <color indexed="81"/>
            <rFont val="Tahoma"/>
            <family val="2"/>
          </rPr>
          <t>Estimación de Tamaño</t>
        </r>
        <r>
          <rPr>
            <sz val="9"/>
            <color indexed="81"/>
            <rFont val="Tahoma"/>
            <family val="2"/>
          </rPr>
          <t xml:space="preserve"> que se encuentra en la hoja del mismo nombre.
</t>
        </r>
      </text>
    </comment>
    <comment ref="F4" authorId="1">
      <text>
        <r>
          <rPr>
            <b/>
            <sz val="12"/>
            <color indexed="20"/>
            <rFont val="Tahoma"/>
            <family val="2"/>
          </rPr>
          <t>Experiencia en la Tecnología (ET):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Experiencia en la Tecnología específica utilizada para implementar el caso de uso.
  los valores posibles son:
</t>
        </r>
        <r>
          <rPr>
            <b/>
            <sz val="8"/>
            <color indexed="81"/>
            <rFont val="Tahoma"/>
          </rPr>
          <t xml:space="preserve">    1,0= Alta
    1,3= Media
    1,7= Baja
    2,5= Nula
</t>
        </r>
      </text>
    </comment>
    <comment ref="G4" authorId="1">
      <text>
        <r>
          <rPr>
            <b/>
            <sz val="12"/>
            <color indexed="20"/>
            <rFont val="Tahoma"/>
            <family val="2"/>
          </rPr>
          <t>Conocimiento del Proceso (CP):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Grado de conocimiento que los recursos poseen en relación al proceso de desarrollo definido para ese proyecto.</t>
        </r>
        <r>
          <rPr>
            <b/>
            <sz val="8"/>
            <color indexed="81"/>
            <rFont val="Tahoma"/>
          </rPr>
          <t xml:space="preserve">
     1,0= Alto
     1,2= Medio
     1,3= Bajo
     2,0= Nulo</t>
        </r>
      </text>
    </comment>
    <comment ref="H4" authorId="1">
      <text>
        <r>
          <rPr>
            <sz val="8"/>
            <color indexed="81"/>
            <rFont val="Tahoma"/>
          </rPr>
          <t xml:space="preserve">
 </t>
        </r>
        <r>
          <rPr>
            <b/>
            <sz val="9"/>
            <color indexed="20"/>
            <rFont val="Tahoma"/>
            <family val="2"/>
          </rPr>
          <t>Esfuerzo = PE*(MO*ET*CP)</t>
        </r>
        <r>
          <rPr>
            <sz val="8"/>
            <color indexed="81"/>
            <rFont val="Tahoma"/>
          </rPr>
          <t xml:space="preserve">
</t>
        </r>
      </text>
    </comment>
    <comment ref="I4" authorId="1">
      <text>
        <r>
          <rPr>
            <b/>
            <sz val="12"/>
            <color indexed="20"/>
            <rFont val="Tahoma"/>
            <family val="2"/>
          </rPr>
          <t>Particulares:</t>
        </r>
        <r>
          <rPr>
            <b/>
            <sz val="8"/>
            <color indexed="20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Cualquier asunción especial para la estimación del caso de uso particular.</t>
        </r>
      </text>
    </comment>
    <comment ref="J4" authorId="1">
      <text>
        <r>
          <rPr>
            <b/>
            <sz val="12"/>
            <color indexed="20"/>
            <rFont val="Tahoma"/>
            <family val="2"/>
          </rPr>
          <t>Generales: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>Asunciones genéricas para estimación del esfuerzo de los casos de uso.</t>
        </r>
      </text>
    </comment>
  </commentList>
</comments>
</file>

<file path=xl/comments3.xml><?xml version="1.0" encoding="utf-8"?>
<comments xmlns="http://schemas.openxmlformats.org/spreadsheetml/2006/main">
  <authors>
    <author>Vates S.A</author>
    <author>Judith Meles</author>
  </authors>
  <commentList>
    <comment ref="H3" authorId="0">
      <text>
        <r>
          <rPr>
            <sz val="9"/>
            <color indexed="81"/>
            <rFont val="Tahoma"/>
            <family val="2"/>
          </rPr>
          <t>Tiempo total del proyecto en HORAS</t>
        </r>
        <r>
          <rPr>
            <sz val="8"/>
            <color indexed="81"/>
            <rFont val="Tahoma"/>
          </rPr>
          <t xml:space="preserve">
</t>
        </r>
      </text>
    </comment>
    <comment ref="D4" authorId="1">
      <text>
        <r>
          <rPr>
            <b/>
            <sz val="12"/>
            <color indexed="20"/>
            <rFont val="Tahoma"/>
            <family val="2"/>
          </rPr>
          <t xml:space="preserve">Puntos de Estimación (PE):
</t>
        </r>
        <r>
          <rPr>
            <sz val="9"/>
            <color indexed="81"/>
            <rFont val="Tahoma"/>
            <family val="2"/>
          </rPr>
          <t xml:space="preserve">  Puntos de Estimación; el valor es
tomado de la tabla </t>
        </r>
        <r>
          <rPr>
            <i/>
            <sz val="9"/>
            <color indexed="81"/>
            <rFont val="Tahoma"/>
            <family val="2"/>
          </rPr>
          <t>Estimación de
Tamaño</t>
        </r>
        <r>
          <rPr>
            <sz val="9"/>
            <color indexed="81"/>
            <rFont val="Tahoma"/>
            <family val="2"/>
          </rPr>
          <t xml:space="preserve"> que se encuentra en la
hoja del mismo nombre, y corres-
ponde a la estimacion del tamaño
total del Proyecto.
</t>
        </r>
      </text>
    </comment>
    <comment ref="E4" authorId="1">
      <text>
        <r>
          <rPr>
            <b/>
            <sz val="12"/>
            <color indexed="20"/>
            <rFont val="Tahoma"/>
            <family val="2"/>
          </rPr>
          <t>Esfuerzo (E):</t>
        </r>
        <r>
          <rPr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 xml:space="preserve">  Esfuerzo total estimado para el
Proyecto, el valor se obtiene de
la tabla </t>
        </r>
        <r>
          <rPr>
            <i/>
            <sz val="9"/>
            <color indexed="81"/>
            <rFont val="Tahoma"/>
            <family val="2"/>
          </rPr>
          <t>Estimación de Esfuerzo</t>
        </r>
        <r>
          <rPr>
            <sz val="9"/>
            <color indexed="81"/>
            <rFont val="Tahoma"/>
            <family val="2"/>
          </rPr>
          <t xml:space="preserve">
que se encuentra en la hoja del
mismo nombre.
</t>
        </r>
      </text>
    </comment>
    <comment ref="F4" authorId="1">
      <text>
        <r>
          <rPr>
            <b/>
            <sz val="12"/>
            <color indexed="20"/>
            <rFont val="Tahoma"/>
            <family val="2"/>
          </rPr>
          <t>Porcentaje (%):</t>
        </r>
        <r>
          <rPr>
            <sz val="9"/>
            <color indexed="81"/>
            <rFont val="Tahoma"/>
            <family val="2"/>
          </rPr>
          <t xml:space="preserve">
  Relación de tiempo tomada con
respecto al Workflow de imple-
mentación.
</t>
        </r>
      </text>
    </comment>
    <comment ref="I4" authorId="1">
      <text>
        <r>
          <rPr>
            <b/>
            <sz val="12"/>
            <color indexed="20"/>
            <rFont val="Tahoma"/>
            <family val="2"/>
          </rPr>
          <t>Particulares:</t>
        </r>
        <r>
          <rPr>
            <b/>
            <sz val="8"/>
            <color indexed="20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Cualquier asunción especial para la estimación de cada workflow en 
particular.</t>
        </r>
      </text>
    </comment>
    <comment ref="J4" authorId="1">
      <text>
        <r>
          <rPr>
            <b/>
            <sz val="12"/>
            <color indexed="20"/>
            <rFont val="Tahoma"/>
            <family val="2"/>
          </rPr>
          <t>Generales:</t>
        </r>
        <r>
          <rPr>
            <b/>
            <sz val="8"/>
            <color indexed="81"/>
            <rFont val="Tahoma"/>
          </rPr>
          <t xml:space="preserve">
</t>
        </r>
        <r>
          <rPr>
            <sz val="9"/>
            <color indexed="81"/>
            <rFont val="Tahoma"/>
            <family val="2"/>
          </rPr>
          <t>Asunciones genéricas para estimación del tiempo de los workflows.</t>
        </r>
      </text>
    </comment>
  </commentList>
</comments>
</file>

<file path=xl/sharedStrings.xml><?xml version="1.0" encoding="utf-8"?>
<sst xmlns="http://schemas.openxmlformats.org/spreadsheetml/2006/main" count="166" uniqueCount="140">
  <si>
    <t>Implementación</t>
  </si>
  <si>
    <t>Prueba</t>
  </si>
  <si>
    <t>Despliegue</t>
  </si>
  <si>
    <t>Planificación</t>
  </si>
  <si>
    <t>Seguimiento y Supervisión</t>
  </si>
  <si>
    <t>Actor Visual</t>
  </si>
  <si>
    <t>Tecnología</t>
  </si>
  <si>
    <t>Nº</t>
  </si>
  <si>
    <t>Nombre</t>
  </si>
  <si>
    <t>C</t>
  </si>
  <si>
    <t>T</t>
  </si>
  <si>
    <t>O</t>
  </si>
  <si>
    <t>R</t>
  </si>
  <si>
    <t>AV</t>
  </si>
  <si>
    <t>ASW</t>
  </si>
  <si>
    <t>AHW</t>
  </si>
  <si>
    <t>Sal</t>
  </si>
  <si>
    <t>Dom</t>
  </si>
  <si>
    <t>Nombre del Caso de Uso</t>
  </si>
  <si>
    <t>Código</t>
  </si>
  <si>
    <t>Valor</t>
  </si>
  <si>
    <t>V</t>
  </si>
  <si>
    <t>VB</t>
  </si>
  <si>
    <t>J</t>
  </si>
  <si>
    <t>AS</t>
  </si>
  <si>
    <t>Tecnología JSP</t>
  </si>
  <si>
    <t>JS</t>
  </si>
  <si>
    <t>Tecnología 4GL</t>
  </si>
  <si>
    <t>4G</t>
  </si>
  <si>
    <t>Tecnología Forms</t>
  </si>
  <si>
    <t>F</t>
  </si>
  <si>
    <t>Optimización Concurrencia</t>
  </si>
  <si>
    <t>Optimización Ambas</t>
  </si>
  <si>
    <t>Reusabilidad</t>
  </si>
  <si>
    <t>Visual Basic</t>
  </si>
  <si>
    <t>JAVA</t>
  </si>
  <si>
    <t xml:space="preserve"> ASP</t>
  </si>
  <si>
    <t>Optimización</t>
  </si>
  <si>
    <t>Alta</t>
  </si>
  <si>
    <t>Media</t>
  </si>
  <si>
    <t>Escasa</t>
  </si>
  <si>
    <t>Nula</t>
  </si>
  <si>
    <t>Optimización Performance</t>
  </si>
  <si>
    <t xml:space="preserve">Clasificación </t>
  </si>
  <si>
    <t>Caso de Uso Simple</t>
  </si>
  <si>
    <t>Caso de Uso Mediano</t>
  </si>
  <si>
    <t>Caso de Uso Complejo</t>
  </si>
  <si>
    <t>Caso de Uso Muy Complejo</t>
  </si>
  <si>
    <t>CS</t>
  </si>
  <si>
    <t>CM</t>
  </si>
  <si>
    <t>CC</t>
  </si>
  <si>
    <t>CMC</t>
  </si>
  <si>
    <t>Referencias:</t>
  </si>
  <si>
    <t>Funciones tipo abmc con acceso a una única entidad de datos con hasta 10 campos de entrada, con validaciones simples</t>
  </si>
  <si>
    <t>Funciones tipo cabecera detalle o consultas con criterios, con acceso a varias entidades de datos y validaciones de consistencia.</t>
  </si>
  <si>
    <t>Funciones esenciales, que se corresponden con la resolución de la lógica de negocio en la aplicación, conllevan algoritmos computacionales complicados.</t>
  </si>
  <si>
    <t>RA</t>
  </si>
  <si>
    <t>RM</t>
  </si>
  <si>
    <t>RE</t>
  </si>
  <si>
    <t>RN</t>
  </si>
  <si>
    <t>OP</t>
  </si>
  <si>
    <t>OC</t>
  </si>
  <si>
    <t>OA</t>
  </si>
  <si>
    <t>Conocimiento Alto</t>
  </si>
  <si>
    <t>Conocimiento Medio</t>
  </si>
  <si>
    <t>Conocimiento Escaso</t>
  </si>
  <si>
    <t>Conocimiento Nulo</t>
  </si>
  <si>
    <t>CA</t>
  </si>
  <si>
    <t>CE</t>
  </si>
  <si>
    <t>CN</t>
  </si>
  <si>
    <t>Sin Optimización</t>
  </si>
  <si>
    <t>SO</t>
  </si>
  <si>
    <t>Baja</t>
  </si>
  <si>
    <t>Alto</t>
  </si>
  <si>
    <t>Medio</t>
  </si>
  <si>
    <t>Bajo</t>
  </si>
  <si>
    <t>Nulo</t>
  </si>
  <si>
    <t>Esfuerzo</t>
  </si>
  <si>
    <t>Estimación de Esfuerzo</t>
  </si>
  <si>
    <t>Nombre del Parámetro</t>
  </si>
  <si>
    <t>ETA</t>
  </si>
  <si>
    <t>ETB</t>
  </si>
  <si>
    <t>ETM</t>
  </si>
  <si>
    <t>ETN</t>
  </si>
  <si>
    <t>CPA</t>
  </si>
  <si>
    <t>CPM</t>
  </si>
  <si>
    <t>CPB</t>
  </si>
  <si>
    <t>CPN</t>
  </si>
  <si>
    <t>ET</t>
  </si>
  <si>
    <t>CP</t>
  </si>
  <si>
    <t>PE</t>
  </si>
  <si>
    <t>%</t>
  </si>
  <si>
    <t>Modelado de Negocio</t>
  </si>
  <si>
    <t>Requerimientos</t>
  </si>
  <si>
    <t>Análisis y Diseño</t>
  </si>
  <si>
    <t>Gestión de Configuración de SW</t>
  </si>
  <si>
    <t>Estimación de Tiempo</t>
  </si>
  <si>
    <t>Nombre del Workflow</t>
  </si>
  <si>
    <t>J2EE-TC</t>
  </si>
  <si>
    <t>J2EE-Fat Client</t>
  </si>
  <si>
    <t>J2EE-Thin Client</t>
  </si>
  <si>
    <t>J2EE-FC</t>
  </si>
  <si>
    <t>CEC</t>
  </si>
  <si>
    <t>Caso de Uso Extremadamente Complejo</t>
  </si>
  <si>
    <t>Actor Software Complejidad Baja</t>
  </si>
  <si>
    <t>Actor Hardware Complejidad Baja</t>
  </si>
  <si>
    <t>Actor Software Complejidad Media</t>
  </si>
  <si>
    <t>Actor Hardware Complejidad Media</t>
  </si>
  <si>
    <t>Actor Software Complejidad Alta</t>
  </si>
  <si>
    <t>Actor Hardware Complejidad Alta</t>
  </si>
  <si>
    <t>SCB</t>
  </si>
  <si>
    <t>SCM</t>
  </si>
  <si>
    <t>SCA</t>
  </si>
  <si>
    <t>HCB</t>
  </si>
  <si>
    <t>HCM</t>
  </si>
  <si>
    <t>HCA</t>
  </si>
  <si>
    <t>Este nivel de complejidad se reserva para aquela funcionalidad que realmente trae aparejado un nivel de dificiltad tal, por sus algoritmos computacionales o su lógica asociada, que va a requerir un tiempo se resolución importante. Puede que existan proyectos que no tengan este tipo de casos de uso, y de existir, por lo general son pocos en cantidad.</t>
  </si>
  <si>
    <t>Punto de 
Estimación</t>
  </si>
  <si>
    <t>Dominio del 
Problema</t>
  </si>
  <si>
    <t>Funciones tipo abmc con acceso a varias entidad de datos (para consultas o referen- cias)  con hasta 15 campos de entrada, con validaciones simples.</t>
  </si>
  <si>
    <t>ANEXO 1 - Parámetros de Tamaño</t>
  </si>
  <si>
    <t>Conocimiento 
del Proceso</t>
  </si>
  <si>
    <t>Experiencia en 
la Tecnología</t>
  </si>
  <si>
    <t>Duración 
en Horas</t>
  </si>
  <si>
    <t>TOTAL</t>
  </si>
  <si>
    <t xml:space="preserve">Total  </t>
  </si>
  <si>
    <t>Actores</t>
  </si>
  <si>
    <t>Estimación de Tamaño</t>
  </si>
  <si>
    <t>&lt;Nombre de Proyecto&gt;</t>
  </si>
  <si>
    <t>ANEXO 1 - Parámetros de Tiempo</t>
  </si>
  <si>
    <t>Total en
Horas</t>
  </si>
  <si>
    <t xml:space="preserve">Total en Horas </t>
  </si>
  <si>
    <t>Particulares</t>
  </si>
  <si>
    <t>Criterios de Estimación</t>
  </si>
  <si>
    <t>Generales</t>
  </si>
  <si>
    <t>C, C++</t>
  </si>
  <si>
    <t>. NET</t>
  </si>
  <si>
    <t>.Net</t>
  </si>
  <si>
    <t>Muy alta</t>
  </si>
  <si>
    <t>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</si>
</sst>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sz val="8"/>
      <color indexed="81"/>
      <name val="Tahoma"/>
    </font>
    <font>
      <b/>
      <sz val="8"/>
      <color indexed="81"/>
      <name val="Tahoma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color indexed="20"/>
      <name val="Tahoma"/>
      <family val="2"/>
    </font>
    <font>
      <b/>
      <sz val="8"/>
      <color indexed="20"/>
      <name val="Tahoma"/>
      <family val="2"/>
    </font>
    <font>
      <b/>
      <sz val="9"/>
      <color indexed="20"/>
      <name val="Tahoma"/>
      <family val="2"/>
    </font>
    <font>
      <i/>
      <sz val="9"/>
      <color indexed="81"/>
      <name val="Tahoma"/>
      <family val="2"/>
    </font>
    <font>
      <sz val="10"/>
      <name val="Trebuchet MS"/>
      <family val="2"/>
    </font>
    <font>
      <b/>
      <sz val="14"/>
      <color indexed="9"/>
      <name val="Trebuchet MS"/>
      <family val="2"/>
    </font>
    <font>
      <sz val="9"/>
      <name val="Trebuchet MS"/>
      <family val="2"/>
    </font>
    <font>
      <b/>
      <sz val="11"/>
      <color indexed="9"/>
      <name val="Trebuchet MS"/>
      <family val="2"/>
    </font>
    <font>
      <b/>
      <sz val="11"/>
      <name val="Trebuchet MS"/>
      <family val="2"/>
    </font>
    <font>
      <b/>
      <sz val="10"/>
      <name val="Trebuchet MS"/>
      <family val="2"/>
    </font>
    <font>
      <b/>
      <i/>
      <sz val="10"/>
      <name val="Trebuchet MS"/>
      <family val="2"/>
    </font>
    <font>
      <b/>
      <sz val="12"/>
      <name val="Trebuchet MS"/>
      <family val="2"/>
    </font>
    <font>
      <sz val="10"/>
      <color indexed="9"/>
      <name val="Trebuchet MS"/>
      <family val="2"/>
    </font>
    <font>
      <b/>
      <sz val="10"/>
      <color indexed="9"/>
      <name val="Trebuchet MS"/>
      <family val="2"/>
    </font>
    <font>
      <b/>
      <sz val="12"/>
      <color indexed="9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4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4" fontId="13" fillId="2" borderId="4" xfId="0" applyNumberFormat="1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0" fillId="4" borderId="10" xfId="0" applyFont="1" applyFill="1" applyBorder="1" applyAlignment="1">
      <alignment horizontal="center" vertical="center"/>
    </xf>
    <xf numFmtId="0" fontId="12" fillId="0" borderId="11" xfId="0" applyFont="1" applyFill="1" applyBorder="1" applyAlignment="1">
      <alignment horizontal="left" vertical="center" wrapText="1"/>
    </xf>
    <xf numFmtId="2" fontId="10" fillId="0" borderId="12" xfId="0" applyNumberFormat="1" applyFont="1" applyFill="1" applyBorder="1" applyAlignment="1">
      <alignment horizontal="right" vertical="center"/>
    </xf>
    <xf numFmtId="2" fontId="10" fillId="0" borderId="13" xfId="0" applyNumberFormat="1" applyFont="1" applyFill="1" applyBorder="1" applyAlignment="1">
      <alignment horizontal="right" vertical="center"/>
    </xf>
    <xf numFmtId="2" fontId="10" fillId="0" borderId="14" xfId="0" applyNumberFormat="1" applyFont="1" applyFill="1" applyBorder="1" applyAlignment="1">
      <alignment horizontal="right" vertical="center"/>
    </xf>
    <xf numFmtId="4" fontId="15" fillId="4" borderId="15" xfId="0" applyNumberFormat="1" applyFont="1" applyFill="1" applyBorder="1" applyAlignment="1">
      <alignment horizontal="right" vertical="center"/>
    </xf>
    <xf numFmtId="2" fontId="10" fillId="0" borderId="10" xfId="0" applyNumberFormat="1" applyFont="1" applyFill="1" applyBorder="1" applyAlignment="1">
      <alignment horizontal="right" vertical="center"/>
    </xf>
    <xf numFmtId="0" fontId="10" fillId="4" borderId="16" xfId="0" applyFont="1" applyFill="1" applyBorder="1" applyAlignment="1">
      <alignment horizontal="center" vertical="center"/>
    </xf>
    <xf numFmtId="0" fontId="12" fillId="0" borderId="17" xfId="0" applyFont="1" applyFill="1" applyBorder="1" applyAlignment="1">
      <alignment horizontal="left" vertical="center" wrapText="1"/>
    </xf>
    <xf numFmtId="2" fontId="10" fillId="0" borderId="3" xfId="0" applyNumberFormat="1" applyFont="1" applyFill="1" applyBorder="1" applyAlignment="1">
      <alignment horizontal="right" vertical="center"/>
    </xf>
    <xf numFmtId="2" fontId="10" fillId="0" borderId="16" xfId="0" applyNumberFormat="1" applyFont="1" applyFill="1" applyBorder="1" applyAlignment="1">
      <alignment horizontal="right" vertical="center"/>
    </xf>
    <xf numFmtId="2" fontId="10" fillId="0" borderId="18" xfId="0" applyNumberFormat="1" applyFont="1" applyFill="1" applyBorder="1" applyAlignment="1">
      <alignment horizontal="right" vertical="center"/>
    </xf>
    <xf numFmtId="2" fontId="10" fillId="0" borderId="19" xfId="0" applyNumberFormat="1" applyFont="1" applyFill="1" applyBorder="1" applyAlignment="1">
      <alignment horizontal="right" vertical="center"/>
    </xf>
    <xf numFmtId="0" fontId="12" fillId="0" borderId="20" xfId="0" applyFont="1" applyFill="1" applyBorder="1" applyAlignment="1">
      <alignment horizontal="left" vertical="center" wrapText="1"/>
    </xf>
    <xf numFmtId="0" fontId="12" fillId="0" borderId="3" xfId="0" applyFont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left" vertical="center" wrapText="1"/>
    </xf>
    <xf numFmtId="0" fontId="12" fillId="0" borderId="21" xfId="0" applyFont="1" applyFill="1" applyBorder="1" applyAlignment="1">
      <alignment horizontal="left" vertical="center" wrapText="1"/>
    </xf>
    <xf numFmtId="2" fontId="10" fillId="0" borderId="22" xfId="0" applyNumberFormat="1" applyFont="1" applyFill="1" applyBorder="1" applyAlignment="1">
      <alignment horizontal="right" vertical="center"/>
    </xf>
    <xf numFmtId="4" fontId="14" fillId="5" borderId="6" xfId="0" applyNumberFormat="1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top"/>
    </xf>
    <xf numFmtId="0" fontId="14" fillId="0" borderId="0" xfId="0" applyFont="1" applyBorder="1" applyAlignment="1">
      <alignment vertical="top"/>
    </xf>
    <xf numFmtId="0" fontId="10" fillId="0" borderId="0" xfId="0" applyFont="1" applyBorder="1" applyAlignment="1">
      <alignment vertical="center"/>
    </xf>
    <xf numFmtId="0" fontId="14" fillId="0" borderId="0" xfId="0" applyFont="1" applyBorder="1" applyAlignment="1">
      <alignment horizontal="right" vertical="top"/>
    </xf>
    <xf numFmtId="0" fontId="10" fillId="0" borderId="0" xfId="0" applyFont="1" applyAlignment="1">
      <alignment vertical="top" wrapText="1"/>
    </xf>
    <xf numFmtId="0" fontId="15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12" fillId="0" borderId="0" xfId="0" applyFont="1" applyBorder="1" applyAlignment="1">
      <alignment vertical="center"/>
    </xf>
    <xf numFmtId="0" fontId="14" fillId="0" borderId="0" xfId="0" applyFont="1" applyAlignment="1">
      <alignment vertical="center"/>
    </xf>
    <xf numFmtId="1" fontId="10" fillId="0" borderId="0" xfId="0" applyNumberFormat="1" applyFont="1" applyFill="1" applyAlignment="1">
      <alignment vertical="center"/>
    </xf>
    <xf numFmtId="0" fontId="16" fillId="0" borderId="0" xfId="0" applyFont="1" applyFill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left" vertical="center"/>
    </xf>
    <xf numFmtId="0" fontId="14" fillId="4" borderId="24" xfId="0" applyFont="1" applyFill="1" applyBorder="1" applyAlignment="1">
      <alignment horizontal="left" vertical="center"/>
    </xf>
    <xf numFmtId="2" fontId="14" fillId="4" borderId="19" xfId="0" applyNumberFormat="1" applyFont="1" applyFill="1" applyBorder="1" applyAlignment="1">
      <alignment horizontal="left" vertical="center"/>
    </xf>
    <xf numFmtId="0" fontId="10" fillId="6" borderId="3" xfId="0" applyFont="1" applyFill="1" applyBorder="1" applyAlignment="1">
      <alignment vertical="center"/>
    </xf>
    <xf numFmtId="0" fontId="10" fillId="6" borderId="3" xfId="0" applyFont="1" applyFill="1" applyBorder="1" applyAlignment="1">
      <alignment horizontal="center" vertical="center"/>
    </xf>
    <xf numFmtId="2" fontId="10" fillId="6" borderId="17" xfId="0" applyNumberFormat="1" applyFont="1" applyFill="1" applyBorder="1" applyAlignment="1">
      <alignment horizontal="center" vertical="center"/>
    </xf>
    <xf numFmtId="2" fontId="10" fillId="0" borderId="17" xfId="0" applyNumberFormat="1" applyFont="1" applyFill="1" applyBorder="1" applyAlignment="1">
      <alignment horizontal="center" vertical="center"/>
    </xf>
    <xf numFmtId="0" fontId="10" fillId="6" borderId="13" xfId="0" applyFont="1" applyFill="1" applyBorder="1" applyAlignment="1">
      <alignment vertical="center"/>
    </xf>
    <xf numFmtId="0" fontId="10" fillId="6" borderId="13" xfId="0" applyFont="1" applyFill="1" applyBorder="1" applyAlignment="1">
      <alignment horizontal="center" vertical="center"/>
    </xf>
    <xf numFmtId="2" fontId="10" fillId="0" borderId="11" xfId="0" applyNumberFormat="1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justify" vertical="center"/>
    </xf>
    <xf numFmtId="0" fontId="10" fillId="6" borderId="21" xfId="0" applyFont="1" applyFill="1" applyBorder="1" applyAlignment="1">
      <alignment vertical="center"/>
    </xf>
    <xf numFmtId="0" fontId="10" fillId="6" borderId="21" xfId="0" applyFont="1" applyFill="1" applyBorder="1" applyAlignment="1">
      <alignment horizontal="center" vertical="center"/>
    </xf>
    <xf numFmtId="2" fontId="10" fillId="0" borderId="25" xfId="0" applyNumberFormat="1" applyFont="1" applyFill="1" applyBorder="1" applyAlignment="1">
      <alignment horizontal="center" vertical="center"/>
    </xf>
    <xf numFmtId="0" fontId="14" fillId="0" borderId="26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0" xfId="0" applyFont="1" applyFill="1" applyAlignment="1">
      <alignment vertical="top" wrapText="1"/>
    </xf>
    <xf numFmtId="0" fontId="10" fillId="0" borderId="16" xfId="0" applyFont="1" applyFill="1" applyBorder="1" applyAlignment="1">
      <alignment horizontal="center" vertical="center"/>
    </xf>
    <xf numFmtId="4" fontId="15" fillId="0" borderId="17" xfId="0" applyNumberFormat="1" applyFont="1" applyFill="1" applyBorder="1" applyAlignment="1">
      <alignment horizontal="right" vertical="center"/>
    </xf>
    <xf numFmtId="0" fontId="14" fillId="4" borderId="19" xfId="0" applyFont="1" applyFill="1" applyBorder="1" applyAlignment="1">
      <alignment horizontal="left" vertical="center"/>
    </xf>
    <xf numFmtId="2" fontId="14" fillId="4" borderId="19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3" fontId="10" fillId="4" borderId="3" xfId="0" applyNumberFormat="1" applyFont="1" applyFill="1" applyBorder="1" applyAlignment="1">
      <alignment horizontal="center" vertical="center"/>
    </xf>
    <xf numFmtId="10" fontId="10" fillId="0" borderId="3" xfId="0" applyNumberFormat="1" applyFont="1" applyFill="1" applyBorder="1" applyAlignment="1">
      <alignment horizontal="right" vertical="center"/>
    </xf>
    <xf numFmtId="3" fontId="10" fillId="4" borderId="3" xfId="0" applyNumberFormat="1" applyFont="1" applyFill="1" applyBorder="1" applyAlignment="1">
      <alignment horizontal="right" vertical="center"/>
    </xf>
    <xf numFmtId="4" fontId="15" fillId="4" borderId="17" xfId="0" applyNumberFormat="1" applyFont="1" applyFill="1" applyBorder="1" applyAlignment="1">
      <alignment horizontal="right" vertical="center"/>
    </xf>
    <xf numFmtId="2" fontId="10" fillId="0" borderId="27" xfId="0" applyNumberFormat="1" applyFont="1" applyFill="1" applyBorder="1" applyAlignment="1">
      <alignment horizontal="right" vertical="center"/>
    </xf>
    <xf numFmtId="0" fontId="10" fillId="6" borderId="22" xfId="0" applyFont="1" applyFill="1" applyBorder="1" applyAlignment="1">
      <alignment horizontal="center" vertical="center"/>
    </xf>
    <xf numFmtId="3" fontId="10" fillId="4" borderId="21" xfId="0" applyNumberFormat="1" applyFont="1" applyFill="1" applyBorder="1" applyAlignment="1">
      <alignment horizontal="center" vertical="center"/>
    </xf>
    <xf numFmtId="10" fontId="10" fillId="0" borderId="21" xfId="0" applyNumberFormat="1" applyFont="1" applyFill="1" applyBorder="1" applyAlignment="1">
      <alignment horizontal="right" vertical="center"/>
    </xf>
    <xf numFmtId="3" fontId="10" fillId="4" borderId="21" xfId="0" applyNumberFormat="1" applyFont="1" applyFill="1" applyBorder="1" applyAlignment="1">
      <alignment horizontal="right" vertical="center"/>
    </xf>
    <xf numFmtId="4" fontId="15" fillId="4" borderId="25" xfId="0" applyNumberFormat="1" applyFont="1" applyFill="1" applyBorder="1" applyAlignment="1">
      <alignment horizontal="right" vertical="center"/>
    </xf>
    <xf numFmtId="3" fontId="10" fillId="0" borderId="0" xfId="0" applyNumberFormat="1" applyFont="1" applyFill="1" applyAlignment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 wrapText="1"/>
    </xf>
    <xf numFmtId="0" fontId="18" fillId="7" borderId="16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vertical="center"/>
    </xf>
    <xf numFmtId="3" fontId="18" fillId="7" borderId="3" xfId="0" applyNumberFormat="1" applyFont="1" applyFill="1" applyBorder="1" applyAlignment="1">
      <alignment horizontal="center" vertical="center"/>
    </xf>
    <xf numFmtId="10" fontId="18" fillId="7" borderId="3" xfId="0" applyNumberFormat="1" applyFont="1" applyFill="1" applyBorder="1" applyAlignment="1">
      <alignment horizontal="right" vertical="center"/>
    </xf>
    <xf numFmtId="3" fontId="18" fillId="7" borderId="3" xfId="0" applyNumberFormat="1" applyFont="1" applyFill="1" applyBorder="1" applyAlignment="1">
      <alignment horizontal="right" vertical="center"/>
    </xf>
    <xf numFmtId="4" fontId="19" fillId="7" borderId="17" xfId="0" applyNumberFormat="1" applyFont="1" applyFill="1" applyBorder="1" applyAlignment="1">
      <alignment horizontal="right" vertical="center"/>
    </xf>
    <xf numFmtId="0" fontId="17" fillId="3" borderId="28" xfId="0" applyFont="1" applyFill="1" applyBorder="1" applyAlignment="1">
      <alignment horizontal="center" vertical="center"/>
    </xf>
    <xf numFmtId="0" fontId="17" fillId="3" borderId="29" xfId="0" applyFont="1" applyFill="1" applyBorder="1" applyAlignment="1">
      <alignment horizontal="center" vertical="center"/>
    </xf>
    <xf numFmtId="1" fontId="20" fillId="2" borderId="6" xfId="0" applyNumberFormat="1" applyFont="1" applyFill="1" applyBorder="1" applyAlignment="1">
      <alignment horizontal="center" vertical="center"/>
    </xf>
    <xf numFmtId="4" fontId="14" fillId="2" borderId="6" xfId="0" applyNumberFormat="1" applyFont="1" applyFill="1" applyBorder="1" applyAlignment="1">
      <alignment horizontal="right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top" wrapText="1"/>
    </xf>
    <xf numFmtId="0" fontId="15" fillId="0" borderId="0" xfId="0" applyFont="1" applyBorder="1" applyAlignment="1">
      <alignment vertical="top"/>
    </xf>
    <xf numFmtId="0" fontId="13" fillId="2" borderId="1" xfId="0" applyFont="1" applyFill="1" applyBorder="1" applyAlignment="1">
      <alignment horizontal="center" vertical="center"/>
    </xf>
    <xf numFmtId="0" fontId="13" fillId="2" borderId="30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2" fontId="10" fillId="0" borderId="29" xfId="0" applyNumberFormat="1" applyFont="1" applyFill="1" applyBorder="1" applyAlignment="1">
      <alignment horizontal="center" vertical="top" wrapText="1"/>
    </xf>
    <xf numFmtId="2" fontId="10" fillId="0" borderId="31" xfId="0" applyNumberFormat="1" applyFont="1" applyFill="1" applyBorder="1" applyAlignment="1">
      <alignment horizontal="center" vertical="top" wrapText="1"/>
    </xf>
    <xf numFmtId="2" fontId="10" fillId="0" borderId="32" xfId="0" applyNumberFormat="1" applyFont="1" applyFill="1" applyBorder="1" applyAlignment="1">
      <alignment horizontal="center" vertical="top" wrapText="1"/>
    </xf>
    <xf numFmtId="0" fontId="13" fillId="2" borderId="1" xfId="0" applyFont="1" applyFill="1" applyBorder="1" applyAlignment="1">
      <alignment horizontal="right" vertical="center"/>
    </xf>
    <xf numFmtId="0" fontId="13" fillId="2" borderId="2" xfId="0" applyFont="1" applyFill="1" applyBorder="1" applyAlignment="1">
      <alignment horizontal="right" vertical="center"/>
    </xf>
    <xf numFmtId="0" fontId="13" fillId="2" borderId="30" xfId="0" applyFont="1" applyFill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/>
    </xf>
    <xf numFmtId="0" fontId="14" fillId="5" borderId="33" xfId="0" applyFont="1" applyFill="1" applyBorder="1" applyAlignment="1">
      <alignment horizontal="right" vertical="center"/>
    </xf>
    <xf numFmtId="0" fontId="14" fillId="5" borderId="2" xfId="0" applyFont="1" applyFill="1" applyBorder="1" applyAlignment="1">
      <alignment horizontal="right" vertical="center"/>
    </xf>
    <xf numFmtId="0" fontId="14" fillId="5" borderId="7" xfId="0" applyFont="1" applyFill="1" applyBorder="1" applyAlignment="1">
      <alignment horizontal="right" vertical="center"/>
    </xf>
    <xf numFmtId="0" fontId="14" fillId="0" borderId="0" xfId="0" applyFont="1" applyBorder="1" applyAlignment="1">
      <alignment vertical="top"/>
    </xf>
    <xf numFmtId="0" fontId="14" fillId="6" borderId="16" xfId="0" applyFont="1" applyFill="1" applyBorder="1" applyAlignment="1">
      <alignment horizontal="left" vertical="center"/>
    </xf>
    <xf numFmtId="0" fontId="14" fillId="6" borderId="16" xfId="0" applyFont="1" applyFill="1" applyBorder="1" applyAlignment="1">
      <alignment horizontal="left" vertical="center" wrapText="1"/>
    </xf>
    <xf numFmtId="0" fontId="14" fillId="6" borderId="22" xfId="0" applyFont="1" applyFill="1" applyBorder="1" applyAlignment="1">
      <alignment horizontal="left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8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14" fillId="6" borderId="10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2" borderId="3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1" fontId="10" fillId="0" borderId="0" xfId="0" applyNumberFormat="1" applyFont="1" applyFill="1" applyAlignment="1">
      <alignment vertical="top" wrapText="1"/>
    </xf>
    <xf numFmtId="0" fontId="14" fillId="2" borderId="1" xfId="0" applyFont="1" applyFill="1" applyBorder="1" applyAlignment="1">
      <alignment horizontal="right" vertical="center"/>
    </xf>
    <xf numFmtId="0" fontId="14" fillId="2" borderId="2" xfId="0" applyFont="1" applyFill="1" applyBorder="1" applyAlignment="1">
      <alignment horizontal="right" vertical="center"/>
    </xf>
    <xf numFmtId="0" fontId="14" fillId="2" borderId="7" xfId="0" applyFont="1" applyFill="1" applyBorder="1" applyAlignment="1">
      <alignment horizontal="right" vertical="center"/>
    </xf>
    <xf numFmtId="0" fontId="13" fillId="8" borderId="1" xfId="0" applyFont="1" applyFill="1" applyBorder="1" applyAlignment="1">
      <alignment horizontal="right" vertical="center"/>
    </xf>
    <xf numFmtId="0" fontId="13" fillId="8" borderId="2" xfId="0" applyFont="1" applyFill="1" applyBorder="1" applyAlignment="1">
      <alignment horizontal="right" vertical="center"/>
    </xf>
    <xf numFmtId="0" fontId="13" fillId="8" borderId="7" xfId="0" applyFont="1" applyFill="1" applyBorder="1" applyAlignment="1">
      <alignment horizontal="right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2" fontId="10" fillId="0" borderId="29" xfId="0" applyNumberFormat="1" applyFont="1" applyFill="1" applyBorder="1" applyAlignment="1">
      <alignment horizontal="center" vertical="center"/>
    </xf>
    <xf numFmtId="2" fontId="10" fillId="0" borderId="31" xfId="0" applyNumberFormat="1" applyFont="1" applyFill="1" applyBorder="1" applyAlignment="1">
      <alignment horizontal="center" vertical="center"/>
    </xf>
    <xf numFmtId="0" fontId="14" fillId="6" borderId="18" xfId="0" applyFont="1" applyFill="1" applyBorder="1" applyAlignment="1">
      <alignment horizontal="left" vertical="center" wrapText="1"/>
    </xf>
    <xf numFmtId="0" fontId="14" fillId="6" borderId="34" xfId="0" applyFont="1" applyFill="1" applyBorder="1" applyAlignment="1">
      <alignment horizontal="left" vertical="center"/>
    </xf>
    <xf numFmtId="0" fontId="14" fillId="6" borderId="35" xfId="0" applyFont="1" applyFill="1" applyBorder="1" applyAlignment="1">
      <alignment horizontal="left" vertical="center"/>
    </xf>
    <xf numFmtId="0" fontId="20" fillId="2" borderId="5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17" fillId="3" borderId="36" xfId="0" applyFont="1" applyFill="1" applyBorder="1" applyAlignment="1">
      <alignment horizontal="center" vertical="center"/>
    </xf>
    <xf numFmtId="0" fontId="17" fillId="3" borderId="28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right" vertical="center"/>
    </xf>
    <xf numFmtId="0" fontId="20" fillId="2" borderId="2" xfId="0" applyFont="1" applyFill="1" applyBorder="1" applyAlignment="1">
      <alignment horizontal="right" vertical="center"/>
    </xf>
    <xf numFmtId="2" fontId="10" fillId="0" borderId="32" xfId="0" applyNumberFormat="1" applyFont="1" applyFill="1" applyBorder="1" applyAlignment="1">
      <alignment horizontal="center" vertical="center"/>
    </xf>
    <xf numFmtId="0" fontId="11" fillId="7" borderId="37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38"/>
  <sheetViews>
    <sheetView showGridLines="0" tabSelected="1" zoomScale="75" workbookViewId="0">
      <pane xSplit="3" ySplit="4" topLeftCell="D5" activePane="bottomRight" state="frozen"/>
      <selection pane="topRight" activeCell="D1" sqref="D1"/>
      <selection pane="bottomLeft" activeCell="A9" sqref="A9"/>
      <selection pane="bottomRight" activeCell="D5" sqref="D5"/>
    </sheetView>
  </sheetViews>
  <sheetFormatPr baseColWidth="10" defaultColWidth="11.5" defaultRowHeight="15.75" customHeight="1" x14ac:dyDescent="0.15"/>
  <cols>
    <col min="1" max="1" width="1.6640625" style="1" customWidth="1"/>
    <col min="2" max="2" width="5.83203125" style="1" customWidth="1"/>
    <col min="3" max="3" width="55.5" style="2" customWidth="1"/>
    <col min="4" max="12" width="7.33203125" style="1" customWidth="1"/>
    <col min="13" max="13" width="13.5" style="1" customWidth="1"/>
    <col min="14" max="14" width="14.33203125" style="1" customWidth="1"/>
    <col min="15" max="15" width="24.33203125" style="1" customWidth="1"/>
    <col min="16" max="16384" width="11.5" style="10"/>
  </cols>
  <sheetData>
    <row r="1" spans="1:15" s="1" customFormat="1" ht="8" customHeight="1" thickBot="1" x14ac:dyDescent="0.2">
      <c r="C1" s="2"/>
    </row>
    <row r="2" spans="1:15" s="1" customFormat="1" ht="32" customHeight="1" thickBot="1" x14ac:dyDescent="0.2">
      <c r="B2" s="97" t="s">
        <v>127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9"/>
    </row>
    <row r="3" spans="1:15" s="1" customFormat="1" ht="37.5" customHeight="1" thickBot="1" x14ac:dyDescent="0.2">
      <c r="B3" s="103" t="s">
        <v>125</v>
      </c>
      <c r="C3" s="104"/>
      <c r="D3" s="104"/>
      <c r="E3" s="104"/>
      <c r="F3" s="104"/>
      <c r="G3" s="104"/>
      <c r="H3" s="104"/>
      <c r="I3" s="104"/>
      <c r="J3" s="104"/>
      <c r="K3" s="104"/>
      <c r="L3" s="105"/>
      <c r="M3" s="3">
        <f>SUM(M5:M214)</f>
        <v>0</v>
      </c>
      <c r="N3" s="95" t="s">
        <v>133</v>
      </c>
      <c r="O3" s="96"/>
    </row>
    <row r="4" spans="1:15" s="1" customFormat="1" ht="45" customHeight="1" thickBot="1" x14ac:dyDescent="0.2">
      <c r="B4" s="4" t="s">
        <v>7</v>
      </c>
      <c r="C4" s="5" t="s">
        <v>18</v>
      </c>
      <c r="D4" s="6" t="s">
        <v>9</v>
      </c>
      <c r="E4" s="7" t="s">
        <v>13</v>
      </c>
      <c r="F4" s="7" t="s">
        <v>14</v>
      </c>
      <c r="G4" s="7" t="s">
        <v>15</v>
      </c>
      <c r="H4" s="7" t="s">
        <v>10</v>
      </c>
      <c r="I4" s="7" t="s">
        <v>11</v>
      </c>
      <c r="J4" s="7" t="s">
        <v>12</v>
      </c>
      <c r="K4" s="7" t="s">
        <v>16</v>
      </c>
      <c r="L4" s="8" t="s">
        <v>17</v>
      </c>
      <c r="M4" s="9" t="s">
        <v>117</v>
      </c>
      <c r="N4" s="4" t="s">
        <v>132</v>
      </c>
      <c r="O4" s="5" t="s">
        <v>134</v>
      </c>
    </row>
    <row r="5" spans="1:15" ht="13" x14ac:dyDescent="0.15">
      <c r="A5" s="10"/>
      <c r="B5" s="11"/>
      <c r="C5" s="12"/>
      <c r="D5" s="13"/>
      <c r="E5" s="14"/>
      <c r="F5" s="14"/>
      <c r="G5" s="14"/>
      <c r="H5" s="14"/>
      <c r="I5" s="14"/>
      <c r="J5" s="14"/>
      <c r="K5" s="14"/>
      <c r="L5" s="15"/>
      <c r="M5" s="16">
        <f>(D5+K5+E5+F5+G5)*H5*I5*J5*L5</f>
        <v>0</v>
      </c>
      <c r="N5" s="17"/>
      <c r="O5" s="100"/>
    </row>
    <row r="6" spans="1:15" ht="13" x14ac:dyDescent="0.15">
      <c r="A6" s="10"/>
      <c r="B6" s="18"/>
      <c r="C6" s="19"/>
      <c r="D6" s="13"/>
      <c r="E6" s="14"/>
      <c r="F6" s="20"/>
      <c r="G6" s="20"/>
      <c r="H6" s="14"/>
      <c r="I6" s="14"/>
      <c r="J6" s="14"/>
      <c r="K6" s="14"/>
      <c r="L6" s="15"/>
      <c r="M6" s="16">
        <f t="shared" ref="M6:M69" si="0">(D6+K6+E6+F6+G6)*H6*I6*J6*L6</f>
        <v>0</v>
      </c>
      <c r="N6" s="21"/>
      <c r="O6" s="101"/>
    </row>
    <row r="7" spans="1:15" ht="13" x14ac:dyDescent="0.15">
      <c r="A7" s="10"/>
      <c r="B7" s="18"/>
      <c r="C7" s="19"/>
      <c r="D7" s="13"/>
      <c r="E7" s="14"/>
      <c r="F7" s="20"/>
      <c r="G7" s="20"/>
      <c r="H7" s="14"/>
      <c r="I7" s="14"/>
      <c r="J7" s="14"/>
      <c r="K7" s="14"/>
      <c r="L7" s="15"/>
      <c r="M7" s="16">
        <f t="shared" si="0"/>
        <v>0</v>
      </c>
      <c r="N7" s="21"/>
      <c r="O7" s="101"/>
    </row>
    <row r="8" spans="1:15" ht="13" x14ac:dyDescent="0.15">
      <c r="A8" s="10"/>
      <c r="B8" s="18"/>
      <c r="C8" s="19"/>
      <c r="D8" s="13"/>
      <c r="E8" s="14"/>
      <c r="F8" s="20"/>
      <c r="G8" s="20"/>
      <c r="H8" s="14"/>
      <c r="I8" s="14"/>
      <c r="J8" s="14"/>
      <c r="K8" s="14"/>
      <c r="L8" s="15"/>
      <c r="M8" s="16">
        <f t="shared" si="0"/>
        <v>0</v>
      </c>
      <c r="N8" s="21"/>
      <c r="O8" s="101"/>
    </row>
    <row r="9" spans="1:15" ht="13" x14ac:dyDescent="0.15">
      <c r="A9" s="10"/>
      <c r="B9" s="18"/>
      <c r="C9" s="19"/>
      <c r="D9" s="13"/>
      <c r="E9" s="14"/>
      <c r="F9" s="20"/>
      <c r="G9" s="20"/>
      <c r="H9" s="14"/>
      <c r="I9" s="14"/>
      <c r="J9" s="14"/>
      <c r="K9" s="14"/>
      <c r="L9" s="15"/>
      <c r="M9" s="16">
        <f t="shared" si="0"/>
        <v>0</v>
      </c>
      <c r="N9" s="21"/>
      <c r="O9" s="101"/>
    </row>
    <row r="10" spans="1:15" ht="13" x14ac:dyDescent="0.15">
      <c r="A10" s="10"/>
      <c r="B10" s="18"/>
      <c r="C10" s="12"/>
      <c r="D10" s="13"/>
      <c r="E10" s="14"/>
      <c r="F10" s="20"/>
      <c r="G10" s="20"/>
      <c r="H10" s="14"/>
      <c r="I10" s="14"/>
      <c r="J10" s="14"/>
      <c r="K10" s="14"/>
      <c r="L10" s="15"/>
      <c r="M10" s="16">
        <f t="shared" si="0"/>
        <v>0</v>
      </c>
      <c r="N10" s="21"/>
      <c r="O10" s="101"/>
    </row>
    <row r="11" spans="1:15" ht="13" x14ac:dyDescent="0.15">
      <c r="A11" s="10"/>
      <c r="B11" s="18"/>
      <c r="C11" s="19"/>
      <c r="D11" s="13"/>
      <c r="E11" s="14"/>
      <c r="F11" s="20"/>
      <c r="G11" s="20"/>
      <c r="H11" s="14"/>
      <c r="I11" s="14"/>
      <c r="J11" s="14"/>
      <c r="K11" s="14"/>
      <c r="L11" s="15"/>
      <c r="M11" s="16">
        <f t="shared" si="0"/>
        <v>0</v>
      </c>
      <c r="N11" s="21"/>
      <c r="O11" s="101"/>
    </row>
    <row r="12" spans="1:15" ht="13" x14ac:dyDescent="0.15">
      <c r="A12" s="10"/>
      <c r="B12" s="18"/>
      <c r="C12" s="19"/>
      <c r="D12" s="13"/>
      <c r="E12" s="14"/>
      <c r="F12" s="20"/>
      <c r="G12" s="20"/>
      <c r="H12" s="14"/>
      <c r="I12" s="14"/>
      <c r="J12" s="14"/>
      <c r="K12" s="14"/>
      <c r="L12" s="15"/>
      <c r="M12" s="16">
        <f t="shared" si="0"/>
        <v>0</v>
      </c>
      <c r="N12" s="21"/>
      <c r="O12" s="101"/>
    </row>
    <row r="13" spans="1:15" ht="13" x14ac:dyDescent="0.15">
      <c r="A13" s="10"/>
      <c r="B13" s="18"/>
      <c r="C13" s="19"/>
      <c r="D13" s="13"/>
      <c r="E13" s="14"/>
      <c r="F13" s="20"/>
      <c r="G13" s="20"/>
      <c r="H13" s="14"/>
      <c r="I13" s="14"/>
      <c r="J13" s="14"/>
      <c r="K13" s="14"/>
      <c r="L13" s="15"/>
      <c r="M13" s="16">
        <f t="shared" si="0"/>
        <v>0</v>
      </c>
      <c r="N13" s="21"/>
      <c r="O13" s="101"/>
    </row>
    <row r="14" spans="1:15" ht="13" x14ac:dyDescent="0.15">
      <c r="A14" s="10"/>
      <c r="B14" s="18"/>
      <c r="C14" s="19"/>
      <c r="D14" s="13"/>
      <c r="E14" s="14"/>
      <c r="F14" s="20"/>
      <c r="G14" s="20"/>
      <c r="H14" s="14"/>
      <c r="I14" s="14"/>
      <c r="J14" s="14"/>
      <c r="K14" s="14"/>
      <c r="L14" s="15"/>
      <c r="M14" s="16">
        <f t="shared" si="0"/>
        <v>0</v>
      </c>
      <c r="N14" s="21"/>
      <c r="O14" s="101"/>
    </row>
    <row r="15" spans="1:15" ht="13" x14ac:dyDescent="0.15">
      <c r="A15" s="10"/>
      <c r="B15" s="18"/>
      <c r="C15" s="12"/>
      <c r="D15" s="13"/>
      <c r="E15" s="14"/>
      <c r="F15" s="20"/>
      <c r="G15" s="20"/>
      <c r="H15" s="14"/>
      <c r="I15" s="14"/>
      <c r="J15" s="14"/>
      <c r="K15" s="14"/>
      <c r="L15" s="15"/>
      <c r="M15" s="16">
        <f t="shared" si="0"/>
        <v>0</v>
      </c>
      <c r="N15" s="21"/>
      <c r="O15" s="101"/>
    </row>
    <row r="16" spans="1:15" ht="13" x14ac:dyDescent="0.15">
      <c r="A16" s="10"/>
      <c r="B16" s="18"/>
      <c r="C16" s="19"/>
      <c r="D16" s="13"/>
      <c r="E16" s="14"/>
      <c r="F16" s="20"/>
      <c r="G16" s="20"/>
      <c r="H16" s="14"/>
      <c r="I16" s="14"/>
      <c r="J16" s="14"/>
      <c r="K16" s="14"/>
      <c r="L16" s="15"/>
      <c r="M16" s="16">
        <f t="shared" si="0"/>
        <v>0</v>
      </c>
      <c r="N16" s="21"/>
      <c r="O16" s="101"/>
    </row>
    <row r="17" spans="1:15" ht="13" x14ac:dyDescent="0.15">
      <c r="A17" s="10"/>
      <c r="B17" s="18"/>
      <c r="C17" s="19"/>
      <c r="D17" s="13"/>
      <c r="E17" s="14"/>
      <c r="F17" s="20"/>
      <c r="G17" s="20"/>
      <c r="H17" s="14"/>
      <c r="I17" s="14"/>
      <c r="J17" s="14"/>
      <c r="K17" s="14"/>
      <c r="L17" s="15"/>
      <c r="M17" s="16">
        <f t="shared" si="0"/>
        <v>0</v>
      </c>
      <c r="N17" s="21"/>
      <c r="O17" s="101"/>
    </row>
    <row r="18" spans="1:15" ht="13" x14ac:dyDescent="0.15">
      <c r="A18" s="10"/>
      <c r="B18" s="18"/>
      <c r="C18" s="19"/>
      <c r="D18" s="13"/>
      <c r="E18" s="14"/>
      <c r="F18" s="20"/>
      <c r="G18" s="20"/>
      <c r="H18" s="14"/>
      <c r="I18" s="14"/>
      <c r="J18" s="14"/>
      <c r="K18" s="14"/>
      <c r="L18" s="15"/>
      <c r="M18" s="16">
        <f t="shared" si="0"/>
        <v>0</v>
      </c>
      <c r="N18" s="21"/>
      <c r="O18" s="101"/>
    </row>
    <row r="19" spans="1:15" ht="13" x14ac:dyDescent="0.15">
      <c r="A19" s="10"/>
      <c r="B19" s="18"/>
      <c r="C19" s="19"/>
      <c r="D19" s="13"/>
      <c r="E19" s="14"/>
      <c r="F19" s="20"/>
      <c r="G19" s="20"/>
      <c r="H19" s="14"/>
      <c r="I19" s="14"/>
      <c r="J19" s="14"/>
      <c r="K19" s="14"/>
      <c r="L19" s="15"/>
      <c r="M19" s="16">
        <f t="shared" si="0"/>
        <v>0</v>
      </c>
      <c r="N19" s="21"/>
      <c r="O19" s="101"/>
    </row>
    <row r="20" spans="1:15" ht="13" x14ac:dyDescent="0.15">
      <c r="A20" s="10"/>
      <c r="B20" s="18"/>
      <c r="C20" s="12"/>
      <c r="D20" s="13"/>
      <c r="E20" s="14"/>
      <c r="F20" s="20"/>
      <c r="G20" s="20"/>
      <c r="H20" s="14"/>
      <c r="I20" s="14"/>
      <c r="J20" s="14"/>
      <c r="K20" s="14"/>
      <c r="L20" s="15"/>
      <c r="M20" s="16">
        <f t="shared" si="0"/>
        <v>0</v>
      </c>
      <c r="N20" s="21"/>
      <c r="O20" s="101"/>
    </row>
    <row r="21" spans="1:15" ht="13" x14ac:dyDescent="0.15">
      <c r="A21" s="10"/>
      <c r="B21" s="18"/>
      <c r="C21" s="19"/>
      <c r="D21" s="13"/>
      <c r="E21" s="14"/>
      <c r="F21" s="20"/>
      <c r="G21" s="20"/>
      <c r="H21" s="14"/>
      <c r="I21" s="14"/>
      <c r="J21" s="14"/>
      <c r="K21" s="14"/>
      <c r="L21" s="15"/>
      <c r="M21" s="16">
        <f t="shared" si="0"/>
        <v>0</v>
      </c>
      <c r="N21" s="21"/>
      <c r="O21" s="101"/>
    </row>
    <row r="22" spans="1:15" ht="13" x14ac:dyDescent="0.15">
      <c r="A22" s="10"/>
      <c r="B22" s="18"/>
      <c r="C22" s="19"/>
      <c r="D22" s="13"/>
      <c r="E22" s="14"/>
      <c r="F22" s="20"/>
      <c r="G22" s="20"/>
      <c r="H22" s="14"/>
      <c r="I22" s="14"/>
      <c r="J22" s="14"/>
      <c r="K22" s="14"/>
      <c r="L22" s="15"/>
      <c r="M22" s="16">
        <f t="shared" si="0"/>
        <v>0</v>
      </c>
      <c r="N22" s="21"/>
      <c r="O22" s="101"/>
    </row>
    <row r="23" spans="1:15" ht="13" x14ac:dyDescent="0.15">
      <c r="A23" s="10"/>
      <c r="B23" s="18"/>
      <c r="C23" s="19"/>
      <c r="D23" s="13"/>
      <c r="E23" s="14"/>
      <c r="F23" s="20"/>
      <c r="G23" s="20"/>
      <c r="H23" s="14"/>
      <c r="I23" s="14"/>
      <c r="J23" s="14"/>
      <c r="K23" s="14"/>
      <c r="L23" s="15"/>
      <c r="M23" s="16">
        <f t="shared" si="0"/>
        <v>0</v>
      </c>
      <c r="N23" s="21"/>
      <c r="O23" s="101"/>
    </row>
    <row r="24" spans="1:15" ht="13" x14ac:dyDescent="0.15">
      <c r="A24" s="10"/>
      <c r="B24" s="18"/>
      <c r="C24" s="19"/>
      <c r="D24" s="13"/>
      <c r="E24" s="14"/>
      <c r="F24" s="20"/>
      <c r="G24" s="20"/>
      <c r="H24" s="14"/>
      <c r="I24" s="14"/>
      <c r="J24" s="14"/>
      <c r="K24" s="14"/>
      <c r="L24" s="15"/>
      <c r="M24" s="16">
        <f t="shared" si="0"/>
        <v>0</v>
      </c>
      <c r="N24" s="21"/>
      <c r="O24" s="101"/>
    </row>
    <row r="25" spans="1:15" ht="13" x14ac:dyDescent="0.15">
      <c r="A25" s="10"/>
      <c r="B25" s="18"/>
      <c r="C25" s="12"/>
      <c r="D25" s="13"/>
      <c r="E25" s="14"/>
      <c r="F25" s="20"/>
      <c r="G25" s="20"/>
      <c r="H25" s="14"/>
      <c r="I25" s="14"/>
      <c r="J25" s="14"/>
      <c r="K25" s="14"/>
      <c r="L25" s="15"/>
      <c r="M25" s="16">
        <f t="shared" si="0"/>
        <v>0</v>
      </c>
      <c r="N25" s="21"/>
      <c r="O25" s="101"/>
    </row>
    <row r="26" spans="1:15" ht="13" x14ac:dyDescent="0.15">
      <c r="A26" s="10"/>
      <c r="B26" s="18"/>
      <c r="C26" s="19"/>
      <c r="D26" s="13"/>
      <c r="E26" s="14"/>
      <c r="F26" s="20"/>
      <c r="G26" s="20"/>
      <c r="H26" s="14"/>
      <c r="I26" s="14"/>
      <c r="J26" s="14"/>
      <c r="K26" s="14"/>
      <c r="L26" s="15"/>
      <c r="M26" s="16">
        <f t="shared" si="0"/>
        <v>0</v>
      </c>
      <c r="N26" s="21"/>
      <c r="O26" s="101"/>
    </row>
    <row r="27" spans="1:15" ht="13" x14ac:dyDescent="0.15">
      <c r="A27" s="10"/>
      <c r="B27" s="18"/>
      <c r="C27" s="19"/>
      <c r="D27" s="13"/>
      <c r="E27" s="14"/>
      <c r="F27" s="20"/>
      <c r="G27" s="20"/>
      <c r="H27" s="14"/>
      <c r="I27" s="14"/>
      <c r="J27" s="14"/>
      <c r="K27" s="14"/>
      <c r="L27" s="15"/>
      <c r="M27" s="16">
        <f t="shared" si="0"/>
        <v>0</v>
      </c>
      <c r="N27" s="21"/>
      <c r="O27" s="101"/>
    </row>
    <row r="28" spans="1:15" ht="13" x14ac:dyDescent="0.15">
      <c r="B28" s="18"/>
      <c r="C28" s="19"/>
      <c r="D28" s="13"/>
      <c r="E28" s="14"/>
      <c r="F28" s="20"/>
      <c r="G28" s="20"/>
      <c r="H28" s="14"/>
      <c r="I28" s="14"/>
      <c r="J28" s="14"/>
      <c r="K28" s="14"/>
      <c r="L28" s="15"/>
      <c r="M28" s="16">
        <f t="shared" si="0"/>
        <v>0</v>
      </c>
      <c r="N28" s="21"/>
      <c r="O28" s="101"/>
    </row>
    <row r="29" spans="1:15" ht="13" x14ac:dyDescent="0.15">
      <c r="B29" s="18"/>
      <c r="C29" s="19"/>
      <c r="D29" s="13"/>
      <c r="E29" s="14"/>
      <c r="F29" s="20"/>
      <c r="G29" s="20"/>
      <c r="H29" s="14"/>
      <c r="I29" s="14"/>
      <c r="J29" s="14"/>
      <c r="K29" s="14"/>
      <c r="L29" s="15"/>
      <c r="M29" s="16">
        <f t="shared" si="0"/>
        <v>0</v>
      </c>
      <c r="N29" s="21"/>
      <c r="O29" s="101"/>
    </row>
    <row r="30" spans="1:15" ht="13" x14ac:dyDescent="0.15">
      <c r="B30" s="18"/>
      <c r="C30" s="12"/>
      <c r="D30" s="13"/>
      <c r="E30" s="14"/>
      <c r="F30" s="20"/>
      <c r="G30" s="20"/>
      <c r="H30" s="14"/>
      <c r="I30" s="14"/>
      <c r="J30" s="14"/>
      <c r="K30" s="14"/>
      <c r="L30" s="15"/>
      <c r="M30" s="16">
        <f t="shared" si="0"/>
        <v>0</v>
      </c>
      <c r="N30" s="21"/>
      <c r="O30" s="101"/>
    </row>
    <row r="31" spans="1:15" ht="13" x14ac:dyDescent="0.15">
      <c r="B31" s="18"/>
      <c r="C31" s="19"/>
      <c r="D31" s="13"/>
      <c r="E31" s="14"/>
      <c r="F31" s="20"/>
      <c r="G31" s="20"/>
      <c r="H31" s="14"/>
      <c r="I31" s="14"/>
      <c r="J31" s="14"/>
      <c r="K31" s="14"/>
      <c r="L31" s="15"/>
      <c r="M31" s="16">
        <f t="shared" si="0"/>
        <v>0</v>
      </c>
      <c r="N31" s="21"/>
      <c r="O31" s="101"/>
    </row>
    <row r="32" spans="1:15" ht="13" x14ac:dyDescent="0.15">
      <c r="B32" s="18"/>
      <c r="C32" s="19"/>
      <c r="D32" s="13"/>
      <c r="E32" s="14"/>
      <c r="F32" s="20"/>
      <c r="G32" s="20"/>
      <c r="H32" s="14"/>
      <c r="I32" s="14"/>
      <c r="J32" s="14"/>
      <c r="K32" s="14"/>
      <c r="L32" s="15"/>
      <c r="M32" s="16">
        <f t="shared" si="0"/>
        <v>0</v>
      </c>
      <c r="N32" s="21"/>
      <c r="O32" s="101"/>
    </row>
    <row r="33" spans="2:15" ht="13" x14ac:dyDescent="0.15">
      <c r="B33" s="18"/>
      <c r="C33" s="19"/>
      <c r="D33" s="13"/>
      <c r="E33" s="14"/>
      <c r="F33" s="20"/>
      <c r="G33" s="20"/>
      <c r="H33" s="14"/>
      <c r="I33" s="14"/>
      <c r="J33" s="14"/>
      <c r="K33" s="14"/>
      <c r="L33" s="15"/>
      <c r="M33" s="16">
        <f t="shared" si="0"/>
        <v>0</v>
      </c>
      <c r="N33" s="21"/>
      <c r="O33" s="101"/>
    </row>
    <row r="34" spans="2:15" ht="13" x14ac:dyDescent="0.15">
      <c r="B34" s="18"/>
      <c r="C34" s="19"/>
      <c r="D34" s="13"/>
      <c r="E34" s="14"/>
      <c r="F34" s="20"/>
      <c r="G34" s="20"/>
      <c r="H34" s="14"/>
      <c r="I34" s="14"/>
      <c r="J34" s="14"/>
      <c r="K34" s="14"/>
      <c r="L34" s="15"/>
      <c r="M34" s="16">
        <f t="shared" si="0"/>
        <v>0</v>
      </c>
      <c r="N34" s="21"/>
      <c r="O34" s="101"/>
    </row>
    <row r="35" spans="2:15" ht="13" x14ac:dyDescent="0.15">
      <c r="B35" s="18"/>
      <c r="C35" s="12"/>
      <c r="D35" s="13"/>
      <c r="E35" s="14"/>
      <c r="F35" s="20"/>
      <c r="G35" s="20"/>
      <c r="H35" s="14"/>
      <c r="I35" s="14"/>
      <c r="J35" s="14"/>
      <c r="K35" s="14"/>
      <c r="L35" s="15"/>
      <c r="M35" s="16">
        <f t="shared" si="0"/>
        <v>0</v>
      </c>
      <c r="N35" s="21"/>
      <c r="O35" s="101"/>
    </row>
    <row r="36" spans="2:15" ht="13" x14ac:dyDescent="0.15">
      <c r="B36" s="18"/>
      <c r="C36" s="19"/>
      <c r="D36" s="13"/>
      <c r="E36" s="14"/>
      <c r="F36" s="20"/>
      <c r="G36" s="20"/>
      <c r="H36" s="14"/>
      <c r="I36" s="14"/>
      <c r="J36" s="14"/>
      <c r="K36" s="14"/>
      <c r="L36" s="15"/>
      <c r="M36" s="16">
        <f t="shared" si="0"/>
        <v>0</v>
      </c>
      <c r="N36" s="21"/>
      <c r="O36" s="101"/>
    </row>
    <row r="37" spans="2:15" ht="13" x14ac:dyDescent="0.15">
      <c r="B37" s="18"/>
      <c r="C37" s="19"/>
      <c r="D37" s="13"/>
      <c r="E37" s="14"/>
      <c r="F37" s="20"/>
      <c r="G37" s="20"/>
      <c r="H37" s="14"/>
      <c r="I37" s="14"/>
      <c r="J37" s="14"/>
      <c r="K37" s="14"/>
      <c r="L37" s="15"/>
      <c r="M37" s="16">
        <f>(D37+K37+E37+F37+G37)*H37*I37*J37*L37</f>
        <v>0</v>
      </c>
      <c r="N37" s="21"/>
      <c r="O37" s="101"/>
    </row>
    <row r="38" spans="2:15" ht="13" x14ac:dyDescent="0.15">
      <c r="B38" s="18"/>
      <c r="C38" s="19"/>
      <c r="D38" s="13"/>
      <c r="E38" s="14"/>
      <c r="F38" s="20"/>
      <c r="G38" s="20"/>
      <c r="H38" s="14"/>
      <c r="I38" s="14"/>
      <c r="J38" s="14"/>
      <c r="K38" s="14"/>
      <c r="L38" s="15"/>
      <c r="M38" s="16">
        <f t="shared" si="0"/>
        <v>0</v>
      </c>
      <c r="N38" s="21"/>
      <c r="O38" s="101"/>
    </row>
    <row r="39" spans="2:15" ht="13" x14ac:dyDescent="0.15">
      <c r="B39" s="18"/>
      <c r="C39" s="19"/>
      <c r="D39" s="13"/>
      <c r="E39" s="14"/>
      <c r="F39" s="20"/>
      <c r="G39" s="20"/>
      <c r="H39" s="14"/>
      <c r="I39" s="14"/>
      <c r="J39" s="14"/>
      <c r="K39" s="14"/>
      <c r="L39" s="15"/>
      <c r="M39" s="16">
        <f t="shared" si="0"/>
        <v>0</v>
      </c>
      <c r="N39" s="21"/>
      <c r="O39" s="101"/>
    </row>
    <row r="40" spans="2:15" ht="13" x14ac:dyDescent="0.15">
      <c r="B40" s="18"/>
      <c r="C40" s="12"/>
      <c r="D40" s="13"/>
      <c r="E40" s="14"/>
      <c r="F40" s="20"/>
      <c r="G40" s="20"/>
      <c r="H40" s="14"/>
      <c r="I40" s="14"/>
      <c r="J40" s="14"/>
      <c r="K40" s="14"/>
      <c r="L40" s="15"/>
      <c r="M40" s="16">
        <f t="shared" si="0"/>
        <v>0</v>
      </c>
      <c r="N40" s="21"/>
      <c r="O40" s="101"/>
    </row>
    <row r="41" spans="2:15" ht="13" x14ac:dyDescent="0.15">
      <c r="B41" s="18"/>
      <c r="C41" s="19"/>
      <c r="D41" s="13"/>
      <c r="E41" s="14"/>
      <c r="F41" s="20"/>
      <c r="G41" s="20"/>
      <c r="H41" s="14"/>
      <c r="I41" s="14"/>
      <c r="J41" s="14"/>
      <c r="K41" s="14"/>
      <c r="L41" s="15"/>
      <c r="M41" s="16">
        <f t="shared" si="0"/>
        <v>0</v>
      </c>
      <c r="N41" s="21"/>
      <c r="O41" s="101"/>
    </row>
    <row r="42" spans="2:15" ht="13" x14ac:dyDescent="0.15">
      <c r="B42" s="18"/>
      <c r="C42" s="19"/>
      <c r="D42" s="13"/>
      <c r="E42" s="14"/>
      <c r="F42" s="20"/>
      <c r="G42" s="20"/>
      <c r="H42" s="14"/>
      <c r="I42" s="14"/>
      <c r="J42" s="14"/>
      <c r="K42" s="14"/>
      <c r="L42" s="15"/>
      <c r="M42" s="16">
        <f t="shared" si="0"/>
        <v>0</v>
      </c>
      <c r="N42" s="21"/>
      <c r="O42" s="101"/>
    </row>
    <row r="43" spans="2:15" ht="13" x14ac:dyDescent="0.15">
      <c r="B43" s="18"/>
      <c r="C43" s="19"/>
      <c r="D43" s="13"/>
      <c r="E43" s="14"/>
      <c r="F43" s="20"/>
      <c r="G43" s="20"/>
      <c r="H43" s="14"/>
      <c r="I43" s="14"/>
      <c r="J43" s="14"/>
      <c r="K43" s="14"/>
      <c r="L43" s="15"/>
      <c r="M43" s="16">
        <f t="shared" si="0"/>
        <v>0</v>
      </c>
      <c r="N43" s="21"/>
      <c r="O43" s="101"/>
    </row>
    <row r="44" spans="2:15" ht="13" x14ac:dyDescent="0.15">
      <c r="B44" s="18"/>
      <c r="C44" s="19"/>
      <c r="D44" s="13"/>
      <c r="E44" s="14"/>
      <c r="F44" s="20"/>
      <c r="G44" s="20"/>
      <c r="H44" s="14"/>
      <c r="I44" s="14"/>
      <c r="J44" s="14"/>
      <c r="K44" s="14"/>
      <c r="L44" s="15"/>
      <c r="M44" s="16">
        <f t="shared" si="0"/>
        <v>0</v>
      </c>
      <c r="N44" s="21"/>
      <c r="O44" s="101"/>
    </row>
    <row r="45" spans="2:15" ht="13" x14ac:dyDescent="0.15">
      <c r="B45" s="18"/>
      <c r="C45" s="12"/>
      <c r="D45" s="13"/>
      <c r="E45" s="14"/>
      <c r="F45" s="20"/>
      <c r="G45" s="20"/>
      <c r="H45" s="14"/>
      <c r="I45" s="14"/>
      <c r="J45" s="14"/>
      <c r="K45" s="14"/>
      <c r="L45" s="15"/>
      <c r="M45" s="16">
        <f t="shared" si="0"/>
        <v>0</v>
      </c>
      <c r="N45" s="21"/>
      <c r="O45" s="101"/>
    </row>
    <row r="46" spans="2:15" ht="13" x14ac:dyDescent="0.15">
      <c r="B46" s="18"/>
      <c r="C46" s="19"/>
      <c r="D46" s="13"/>
      <c r="E46" s="14"/>
      <c r="F46" s="20"/>
      <c r="G46" s="20"/>
      <c r="H46" s="14"/>
      <c r="I46" s="14"/>
      <c r="J46" s="14"/>
      <c r="K46" s="14"/>
      <c r="L46" s="15"/>
      <c r="M46" s="16">
        <f t="shared" si="0"/>
        <v>0</v>
      </c>
      <c r="N46" s="21"/>
      <c r="O46" s="101"/>
    </row>
    <row r="47" spans="2:15" ht="13" x14ac:dyDescent="0.15">
      <c r="B47" s="18"/>
      <c r="C47" s="19"/>
      <c r="D47" s="13"/>
      <c r="E47" s="14"/>
      <c r="F47" s="20"/>
      <c r="G47" s="20"/>
      <c r="H47" s="14"/>
      <c r="I47" s="14"/>
      <c r="J47" s="14"/>
      <c r="K47" s="14"/>
      <c r="L47" s="15"/>
      <c r="M47" s="16">
        <f t="shared" si="0"/>
        <v>0</v>
      </c>
      <c r="N47" s="21"/>
      <c r="O47" s="101"/>
    </row>
    <row r="48" spans="2:15" ht="13" x14ac:dyDescent="0.15">
      <c r="B48" s="18"/>
      <c r="C48" s="19"/>
      <c r="D48" s="13"/>
      <c r="E48" s="14"/>
      <c r="F48" s="20"/>
      <c r="G48" s="20"/>
      <c r="H48" s="14"/>
      <c r="I48" s="14"/>
      <c r="J48" s="14"/>
      <c r="K48" s="14"/>
      <c r="L48" s="15"/>
      <c r="M48" s="16">
        <f t="shared" si="0"/>
        <v>0</v>
      </c>
      <c r="N48" s="21"/>
      <c r="O48" s="101"/>
    </row>
    <row r="49" spans="2:15" ht="13" x14ac:dyDescent="0.15">
      <c r="B49" s="18"/>
      <c r="C49" s="19"/>
      <c r="D49" s="13"/>
      <c r="E49" s="14"/>
      <c r="F49" s="20"/>
      <c r="G49" s="20"/>
      <c r="H49" s="14"/>
      <c r="I49" s="14"/>
      <c r="J49" s="14"/>
      <c r="K49" s="14"/>
      <c r="L49" s="15"/>
      <c r="M49" s="16">
        <f t="shared" si="0"/>
        <v>0</v>
      </c>
      <c r="N49" s="21"/>
      <c r="O49" s="101"/>
    </row>
    <row r="50" spans="2:15" ht="13" x14ac:dyDescent="0.15">
      <c r="B50" s="18"/>
      <c r="C50" s="12"/>
      <c r="D50" s="13"/>
      <c r="E50" s="14"/>
      <c r="F50" s="20"/>
      <c r="G50" s="20"/>
      <c r="H50" s="14"/>
      <c r="I50" s="14"/>
      <c r="J50" s="14"/>
      <c r="K50" s="14"/>
      <c r="L50" s="15"/>
      <c r="M50" s="16">
        <f t="shared" si="0"/>
        <v>0</v>
      </c>
      <c r="N50" s="21"/>
      <c r="O50" s="101"/>
    </row>
    <row r="51" spans="2:15" ht="13" x14ac:dyDescent="0.15">
      <c r="B51" s="18"/>
      <c r="C51" s="19"/>
      <c r="D51" s="13"/>
      <c r="E51" s="14"/>
      <c r="F51" s="20"/>
      <c r="G51" s="20"/>
      <c r="H51" s="14"/>
      <c r="I51" s="14"/>
      <c r="J51" s="14"/>
      <c r="K51" s="14"/>
      <c r="L51" s="15"/>
      <c r="M51" s="16">
        <f t="shared" si="0"/>
        <v>0</v>
      </c>
      <c r="N51" s="21"/>
      <c r="O51" s="101"/>
    </row>
    <row r="52" spans="2:15" ht="13" x14ac:dyDescent="0.15">
      <c r="B52" s="18"/>
      <c r="C52" s="19"/>
      <c r="D52" s="13"/>
      <c r="E52" s="14"/>
      <c r="F52" s="20"/>
      <c r="G52" s="20"/>
      <c r="H52" s="14"/>
      <c r="I52" s="14"/>
      <c r="J52" s="14"/>
      <c r="K52" s="14"/>
      <c r="L52" s="15"/>
      <c r="M52" s="16">
        <f t="shared" si="0"/>
        <v>0</v>
      </c>
      <c r="N52" s="21"/>
      <c r="O52" s="101"/>
    </row>
    <row r="53" spans="2:15" ht="13" x14ac:dyDescent="0.15">
      <c r="B53" s="18"/>
      <c r="C53" s="19"/>
      <c r="D53" s="13"/>
      <c r="E53" s="14"/>
      <c r="F53" s="20"/>
      <c r="G53" s="20"/>
      <c r="H53" s="14"/>
      <c r="I53" s="14"/>
      <c r="J53" s="14"/>
      <c r="K53" s="14"/>
      <c r="L53" s="15"/>
      <c r="M53" s="16">
        <f t="shared" si="0"/>
        <v>0</v>
      </c>
      <c r="N53" s="21"/>
      <c r="O53" s="101"/>
    </row>
    <row r="54" spans="2:15" ht="13" x14ac:dyDescent="0.15">
      <c r="B54" s="18"/>
      <c r="C54" s="19"/>
      <c r="D54" s="13"/>
      <c r="E54" s="14"/>
      <c r="F54" s="20"/>
      <c r="G54" s="20"/>
      <c r="H54" s="14"/>
      <c r="I54" s="14"/>
      <c r="J54" s="14"/>
      <c r="K54" s="14"/>
      <c r="L54" s="15"/>
      <c r="M54" s="16">
        <f t="shared" si="0"/>
        <v>0</v>
      </c>
      <c r="N54" s="21"/>
      <c r="O54" s="101"/>
    </row>
    <row r="55" spans="2:15" ht="13" x14ac:dyDescent="0.15">
      <c r="B55" s="18"/>
      <c r="C55" s="12"/>
      <c r="D55" s="13"/>
      <c r="E55" s="14"/>
      <c r="F55" s="20"/>
      <c r="G55" s="20"/>
      <c r="H55" s="14"/>
      <c r="I55" s="14"/>
      <c r="J55" s="14"/>
      <c r="K55" s="14"/>
      <c r="L55" s="15"/>
      <c r="M55" s="16">
        <f t="shared" si="0"/>
        <v>0</v>
      </c>
      <c r="N55" s="21"/>
      <c r="O55" s="101"/>
    </row>
    <row r="56" spans="2:15" ht="13" x14ac:dyDescent="0.15">
      <c r="B56" s="18"/>
      <c r="C56" s="19"/>
      <c r="D56" s="13"/>
      <c r="E56" s="14"/>
      <c r="F56" s="20"/>
      <c r="G56" s="20"/>
      <c r="H56" s="14"/>
      <c r="I56" s="14"/>
      <c r="J56" s="14"/>
      <c r="K56" s="14"/>
      <c r="L56" s="15"/>
      <c r="M56" s="16">
        <f t="shared" si="0"/>
        <v>0</v>
      </c>
      <c r="N56" s="21"/>
      <c r="O56" s="101"/>
    </row>
    <row r="57" spans="2:15" ht="13" x14ac:dyDescent="0.15">
      <c r="B57" s="18"/>
      <c r="C57" s="19"/>
      <c r="D57" s="13"/>
      <c r="E57" s="14"/>
      <c r="F57" s="20"/>
      <c r="G57" s="20"/>
      <c r="H57" s="14"/>
      <c r="I57" s="14"/>
      <c r="J57" s="14"/>
      <c r="K57" s="14"/>
      <c r="L57" s="15"/>
      <c r="M57" s="16">
        <f t="shared" si="0"/>
        <v>0</v>
      </c>
      <c r="N57" s="21"/>
      <c r="O57" s="101"/>
    </row>
    <row r="58" spans="2:15" ht="13" x14ac:dyDescent="0.15">
      <c r="B58" s="18"/>
      <c r="C58" s="19"/>
      <c r="D58" s="13"/>
      <c r="E58" s="14"/>
      <c r="F58" s="20"/>
      <c r="G58" s="20"/>
      <c r="H58" s="14"/>
      <c r="I58" s="14"/>
      <c r="J58" s="14"/>
      <c r="K58" s="14"/>
      <c r="L58" s="15"/>
      <c r="M58" s="16">
        <f t="shared" si="0"/>
        <v>0</v>
      </c>
      <c r="N58" s="21"/>
      <c r="O58" s="101"/>
    </row>
    <row r="59" spans="2:15" ht="13" x14ac:dyDescent="0.15">
      <c r="B59" s="18"/>
      <c r="C59" s="19"/>
      <c r="D59" s="13"/>
      <c r="E59" s="14"/>
      <c r="F59" s="20"/>
      <c r="G59" s="20"/>
      <c r="H59" s="14"/>
      <c r="I59" s="14"/>
      <c r="J59" s="14"/>
      <c r="K59" s="14"/>
      <c r="L59" s="15"/>
      <c r="M59" s="16">
        <f t="shared" si="0"/>
        <v>0</v>
      </c>
      <c r="N59" s="21"/>
      <c r="O59" s="101"/>
    </row>
    <row r="60" spans="2:15" ht="13" x14ac:dyDescent="0.15">
      <c r="B60" s="18"/>
      <c r="C60" s="12"/>
      <c r="D60" s="13"/>
      <c r="E60" s="14"/>
      <c r="F60" s="20"/>
      <c r="G60" s="20"/>
      <c r="H60" s="14"/>
      <c r="I60" s="14"/>
      <c r="J60" s="14"/>
      <c r="K60" s="14"/>
      <c r="L60" s="15"/>
      <c r="M60" s="16">
        <f t="shared" si="0"/>
        <v>0</v>
      </c>
      <c r="N60" s="21"/>
      <c r="O60" s="101"/>
    </row>
    <row r="61" spans="2:15" ht="13" x14ac:dyDescent="0.15">
      <c r="B61" s="18"/>
      <c r="C61" s="19"/>
      <c r="D61" s="13"/>
      <c r="E61" s="14"/>
      <c r="F61" s="20"/>
      <c r="G61" s="20"/>
      <c r="H61" s="14"/>
      <c r="I61" s="14"/>
      <c r="J61" s="14"/>
      <c r="K61" s="14"/>
      <c r="L61" s="15"/>
      <c r="M61" s="16">
        <f t="shared" si="0"/>
        <v>0</v>
      </c>
      <c r="N61" s="22"/>
      <c r="O61" s="101"/>
    </row>
    <row r="62" spans="2:15" ht="13" x14ac:dyDescent="0.15">
      <c r="B62" s="18"/>
      <c r="C62" s="19"/>
      <c r="D62" s="13"/>
      <c r="E62" s="14"/>
      <c r="F62" s="20"/>
      <c r="G62" s="20"/>
      <c r="H62" s="14"/>
      <c r="I62" s="14"/>
      <c r="J62" s="14"/>
      <c r="K62" s="14"/>
      <c r="L62" s="15"/>
      <c r="M62" s="16">
        <f t="shared" si="0"/>
        <v>0</v>
      </c>
      <c r="N62" s="22"/>
      <c r="O62" s="101"/>
    </row>
    <row r="63" spans="2:15" ht="13" x14ac:dyDescent="0.15">
      <c r="B63" s="18"/>
      <c r="C63" s="19"/>
      <c r="D63" s="13"/>
      <c r="E63" s="14"/>
      <c r="F63" s="20"/>
      <c r="G63" s="20"/>
      <c r="H63" s="14"/>
      <c r="I63" s="14"/>
      <c r="J63" s="14"/>
      <c r="K63" s="14"/>
      <c r="L63" s="15"/>
      <c r="M63" s="16">
        <f t="shared" si="0"/>
        <v>0</v>
      </c>
      <c r="N63" s="22"/>
      <c r="O63" s="101"/>
    </row>
    <row r="64" spans="2:15" ht="13" x14ac:dyDescent="0.15">
      <c r="B64" s="18"/>
      <c r="C64" s="19"/>
      <c r="D64" s="13"/>
      <c r="E64" s="14"/>
      <c r="F64" s="20"/>
      <c r="G64" s="20"/>
      <c r="H64" s="14"/>
      <c r="I64" s="14"/>
      <c r="J64" s="14"/>
      <c r="K64" s="14"/>
      <c r="L64" s="15"/>
      <c r="M64" s="16">
        <f t="shared" si="0"/>
        <v>0</v>
      </c>
      <c r="N64" s="22"/>
      <c r="O64" s="101"/>
    </row>
    <row r="65" spans="2:15" ht="13" x14ac:dyDescent="0.15">
      <c r="B65" s="18"/>
      <c r="C65" s="12"/>
      <c r="D65" s="13"/>
      <c r="E65" s="14"/>
      <c r="F65" s="20"/>
      <c r="G65" s="20"/>
      <c r="H65" s="14"/>
      <c r="I65" s="14"/>
      <c r="J65" s="14"/>
      <c r="K65" s="14"/>
      <c r="L65" s="15"/>
      <c r="M65" s="16">
        <f>(D65+K65+E65+F65+G65)*H65*I65*J65*L65</f>
        <v>0</v>
      </c>
      <c r="N65" s="22"/>
      <c r="O65" s="101"/>
    </row>
    <row r="66" spans="2:15" ht="13" x14ac:dyDescent="0.15">
      <c r="B66" s="18"/>
      <c r="C66" s="19"/>
      <c r="D66" s="13"/>
      <c r="E66" s="14"/>
      <c r="F66" s="20"/>
      <c r="G66" s="20"/>
      <c r="H66" s="14"/>
      <c r="I66" s="14"/>
      <c r="J66" s="14"/>
      <c r="K66" s="14"/>
      <c r="L66" s="15"/>
      <c r="M66" s="16">
        <f t="shared" si="0"/>
        <v>0</v>
      </c>
      <c r="N66" s="22"/>
      <c r="O66" s="101"/>
    </row>
    <row r="67" spans="2:15" ht="13" x14ac:dyDescent="0.15">
      <c r="B67" s="18"/>
      <c r="C67" s="19"/>
      <c r="D67" s="13"/>
      <c r="E67" s="14"/>
      <c r="F67" s="20"/>
      <c r="G67" s="20"/>
      <c r="H67" s="14"/>
      <c r="I67" s="14"/>
      <c r="J67" s="14"/>
      <c r="K67" s="14"/>
      <c r="L67" s="15"/>
      <c r="M67" s="16">
        <f t="shared" si="0"/>
        <v>0</v>
      </c>
      <c r="N67" s="22"/>
      <c r="O67" s="101"/>
    </row>
    <row r="68" spans="2:15" ht="13" x14ac:dyDescent="0.15">
      <c r="B68" s="18"/>
      <c r="C68" s="19"/>
      <c r="D68" s="13"/>
      <c r="E68" s="14"/>
      <c r="F68" s="20"/>
      <c r="G68" s="20"/>
      <c r="H68" s="14"/>
      <c r="I68" s="14"/>
      <c r="J68" s="14"/>
      <c r="K68" s="14"/>
      <c r="L68" s="15"/>
      <c r="M68" s="16">
        <f t="shared" si="0"/>
        <v>0</v>
      </c>
      <c r="N68" s="22"/>
      <c r="O68" s="101"/>
    </row>
    <row r="69" spans="2:15" ht="13" x14ac:dyDescent="0.15">
      <c r="B69" s="18"/>
      <c r="C69" s="19"/>
      <c r="D69" s="13"/>
      <c r="E69" s="14"/>
      <c r="F69" s="20"/>
      <c r="G69" s="20"/>
      <c r="H69" s="14"/>
      <c r="I69" s="14"/>
      <c r="J69" s="14"/>
      <c r="K69" s="14"/>
      <c r="L69" s="15"/>
      <c r="M69" s="16">
        <f t="shared" si="0"/>
        <v>0</v>
      </c>
      <c r="N69" s="22"/>
      <c r="O69" s="101"/>
    </row>
    <row r="70" spans="2:15" ht="13" x14ac:dyDescent="0.15">
      <c r="B70" s="18"/>
      <c r="C70" s="12"/>
      <c r="D70" s="13"/>
      <c r="E70" s="14"/>
      <c r="F70" s="20"/>
      <c r="G70" s="20"/>
      <c r="H70" s="14"/>
      <c r="I70" s="14"/>
      <c r="J70" s="14"/>
      <c r="K70" s="14"/>
      <c r="L70" s="15"/>
      <c r="M70" s="16">
        <f t="shared" ref="M70:M94" si="1">(D70+K70+E70+F70+G70)*H70*I70*J70*L70</f>
        <v>0</v>
      </c>
      <c r="N70" s="22"/>
      <c r="O70" s="101"/>
    </row>
    <row r="71" spans="2:15" ht="13" x14ac:dyDescent="0.15">
      <c r="B71" s="18"/>
      <c r="C71" s="19"/>
      <c r="D71" s="13"/>
      <c r="E71" s="14"/>
      <c r="F71" s="20"/>
      <c r="G71" s="20"/>
      <c r="H71" s="14"/>
      <c r="I71" s="14"/>
      <c r="J71" s="14"/>
      <c r="K71" s="14"/>
      <c r="L71" s="15"/>
      <c r="M71" s="16">
        <f t="shared" si="1"/>
        <v>0</v>
      </c>
      <c r="N71" s="22"/>
      <c r="O71" s="101"/>
    </row>
    <row r="72" spans="2:15" ht="13" x14ac:dyDescent="0.15">
      <c r="B72" s="18"/>
      <c r="C72" s="19"/>
      <c r="D72" s="13"/>
      <c r="E72" s="14"/>
      <c r="F72" s="20"/>
      <c r="G72" s="20"/>
      <c r="H72" s="14"/>
      <c r="I72" s="14"/>
      <c r="J72" s="14"/>
      <c r="K72" s="14"/>
      <c r="L72" s="15"/>
      <c r="M72" s="16">
        <f t="shared" si="1"/>
        <v>0</v>
      </c>
      <c r="N72" s="22"/>
      <c r="O72" s="101"/>
    </row>
    <row r="73" spans="2:15" ht="13" x14ac:dyDescent="0.15">
      <c r="B73" s="18"/>
      <c r="C73" s="19"/>
      <c r="D73" s="13"/>
      <c r="E73" s="14"/>
      <c r="F73" s="20"/>
      <c r="G73" s="20"/>
      <c r="H73" s="14"/>
      <c r="I73" s="14"/>
      <c r="J73" s="14"/>
      <c r="K73" s="14"/>
      <c r="L73" s="15"/>
      <c r="M73" s="16">
        <f t="shared" si="1"/>
        <v>0</v>
      </c>
      <c r="N73" s="22"/>
      <c r="O73" s="101"/>
    </row>
    <row r="74" spans="2:15" ht="13" x14ac:dyDescent="0.15">
      <c r="B74" s="18"/>
      <c r="C74" s="19"/>
      <c r="D74" s="13"/>
      <c r="E74" s="14"/>
      <c r="F74" s="20"/>
      <c r="G74" s="20"/>
      <c r="H74" s="14"/>
      <c r="I74" s="14"/>
      <c r="J74" s="14"/>
      <c r="K74" s="14"/>
      <c r="L74" s="15"/>
      <c r="M74" s="16">
        <f t="shared" si="1"/>
        <v>0</v>
      </c>
      <c r="N74" s="22"/>
      <c r="O74" s="101"/>
    </row>
    <row r="75" spans="2:15" ht="13" x14ac:dyDescent="0.15">
      <c r="B75" s="18"/>
      <c r="C75" s="12"/>
      <c r="D75" s="13"/>
      <c r="E75" s="14"/>
      <c r="F75" s="20"/>
      <c r="G75" s="20"/>
      <c r="H75" s="14"/>
      <c r="I75" s="14"/>
      <c r="J75" s="14"/>
      <c r="K75" s="14"/>
      <c r="L75" s="15"/>
      <c r="M75" s="16">
        <f t="shared" si="1"/>
        <v>0</v>
      </c>
      <c r="N75" s="22"/>
      <c r="O75" s="101"/>
    </row>
    <row r="76" spans="2:15" ht="13" x14ac:dyDescent="0.15">
      <c r="B76" s="18"/>
      <c r="C76" s="19"/>
      <c r="D76" s="13"/>
      <c r="E76" s="14"/>
      <c r="F76" s="20"/>
      <c r="G76" s="20"/>
      <c r="H76" s="14"/>
      <c r="I76" s="14"/>
      <c r="J76" s="14"/>
      <c r="K76" s="14"/>
      <c r="L76" s="15"/>
      <c r="M76" s="16">
        <f t="shared" si="1"/>
        <v>0</v>
      </c>
      <c r="N76" s="22"/>
      <c r="O76" s="101"/>
    </row>
    <row r="77" spans="2:15" ht="13" x14ac:dyDescent="0.15">
      <c r="B77" s="18"/>
      <c r="C77" s="19"/>
      <c r="D77" s="13"/>
      <c r="E77" s="14"/>
      <c r="F77" s="20"/>
      <c r="G77" s="20"/>
      <c r="H77" s="14"/>
      <c r="I77" s="14"/>
      <c r="J77" s="14"/>
      <c r="K77" s="14"/>
      <c r="L77" s="15"/>
      <c r="M77" s="16">
        <f t="shared" si="1"/>
        <v>0</v>
      </c>
      <c r="N77" s="22"/>
      <c r="O77" s="101"/>
    </row>
    <row r="78" spans="2:15" ht="13" x14ac:dyDescent="0.15">
      <c r="B78" s="18"/>
      <c r="C78" s="19"/>
      <c r="D78" s="13"/>
      <c r="E78" s="14"/>
      <c r="F78" s="20"/>
      <c r="G78" s="20"/>
      <c r="H78" s="14"/>
      <c r="I78" s="14"/>
      <c r="J78" s="14"/>
      <c r="K78" s="14"/>
      <c r="L78" s="15"/>
      <c r="M78" s="16">
        <f t="shared" si="1"/>
        <v>0</v>
      </c>
      <c r="N78" s="22"/>
      <c r="O78" s="101"/>
    </row>
    <row r="79" spans="2:15" ht="13" x14ac:dyDescent="0.15">
      <c r="B79" s="18"/>
      <c r="C79" s="19"/>
      <c r="D79" s="13"/>
      <c r="E79" s="14"/>
      <c r="F79" s="20"/>
      <c r="G79" s="20"/>
      <c r="H79" s="14"/>
      <c r="I79" s="14"/>
      <c r="J79" s="14"/>
      <c r="K79" s="14"/>
      <c r="L79" s="15"/>
      <c r="M79" s="16">
        <f t="shared" si="1"/>
        <v>0</v>
      </c>
      <c r="N79" s="22"/>
      <c r="O79" s="101"/>
    </row>
    <row r="80" spans="2:15" ht="13" x14ac:dyDescent="0.15">
      <c r="B80" s="18"/>
      <c r="C80" s="12"/>
      <c r="D80" s="13"/>
      <c r="E80" s="14"/>
      <c r="F80" s="20"/>
      <c r="G80" s="20"/>
      <c r="H80" s="14"/>
      <c r="I80" s="14"/>
      <c r="J80" s="14"/>
      <c r="K80" s="14"/>
      <c r="L80" s="15"/>
      <c r="M80" s="16">
        <f t="shared" si="1"/>
        <v>0</v>
      </c>
      <c r="N80" s="22"/>
      <c r="O80" s="101"/>
    </row>
    <row r="81" spans="2:15" ht="13" x14ac:dyDescent="0.15">
      <c r="B81" s="18"/>
      <c r="C81" s="19"/>
      <c r="D81" s="13"/>
      <c r="E81" s="14"/>
      <c r="F81" s="20"/>
      <c r="G81" s="20"/>
      <c r="H81" s="14"/>
      <c r="I81" s="14"/>
      <c r="J81" s="14"/>
      <c r="K81" s="14"/>
      <c r="L81" s="15"/>
      <c r="M81" s="16">
        <f t="shared" si="1"/>
        <v>0</v>
      </c>
      <c r="N81" s="22"/>
      <c r="O81" s="101"/>
    </row>
    <row r="82" spans="2:15" ht="13" x14ac:dyDescent="0.15">
      <c r="B82" s="18"/>
      <c r="C82" s="19"/>
      <c r="D82" s="13"/>
      <c r="E82" s="14"/>
      <c r="F82" s="20"/>
      <c r="G82" s="20"/>
      <c r="H82" s="14"/>
      <c r="I82" s="14"/>
      <c r="J82" s="14"/>
      <c r="K82" s="14"/>
      <c r="L82" s="15"/>
      <c r="M82" s="16">
        <f t="shared" si="1"/>
        <v>0</v>
      </c>
      <c r="N82" s="22"/>
      <c r="O82" s="101"/>
    </row>
    <row r="83" spans="2:15" ht="13" x14ac:dyDescent="0.15">
      <c r="B83" s="18"/>
      <c r="C83" s="19"/>
      <c r="D83" s="13"/>
      <c r="E83" s="14"/>
      <c r="F83" s="20"/>
      <c r="G83" s="20"/>
      <c r="H83" s="14"/>
      <c r="I83" s="14"/>
      <c r="J83" s="14"/>
      <c r="K83" s="14"/>
      <c r="L83" s="15"/>
      <c r="M83" s="16">
        <f t="shared" si="1"/>
        <v>0</v>
      </c>
      <c r="N83" s="22"/>
      <c r="O83" s="101"/>
    </row>
    <row r="84" spans="2:15" ht="13" x14ac:dyDescent="0.15">
      <c r="B84" s="18"/>
      <c r="C84" s="19"/>
      <c r="D84" s="13"/>
      <c r="E84" s="14"/>
      <c r="F84" s="20"/>
      <c r="G84" s="20"/>
      <c r="H84" s="14"/>
      <c r="I84" s="14"/>
      <c r="J84" s="14"/>
      <c r="K84" s="14"/>
      <c r="L84" s="15"/>
      <c r="M84" s="16">
        <f t="shared" si="1"/>
        <v>0</v>
      </c>
      <c r="N84" s="22"/>
      <c r="O84" s="101"/>
    </row>
    <row r="85" spans="2:15" ht="13" x14ac:dyDescent="0.15">
      <c r="B85" s="18"/>
      <c r="C85" s="12"/>
      <c r="D85" s="13"/>
      <c r="E85" s="14"/>
      <c r="F85" s="20"/>
      <c r="G85" s="20"/>
      <c r="H85" s="14"/>
      <c r="I85" s="14"/>
      <c r="J85" s="14"/>
      <c r="K85" s="14"/>
      <c r="L85" s="15"/>
      <c r="M85" s="16">
        <f t="shared" si="1"/>
        <v>0</v>
      </c>
      <c r="N85" s="22"/>
      <c r="O85" s="101"/>
    </row>
    <row r="86" spans="2:15" ht="13" x14ac:dyDescent="0.15">
      <c r="B86" s="18"/>
      <c r="C86" s="19"/>
      <c r="D86" s="13"/>
      <c r="E86" s="14"/>
      <c r="F86" s="20"/>
      <c r="G86" s="20"/>
      <c r="H86" s="14"/>
      <c r="I86" s="14"/>
      <c r="J86" s="14"/>
      <c r="K86" s="14"/>
      <c r="L86" s="15"/>
      <c r="M86" s="16">
        <f t="shared" si="1"/>
        <v>0</v>
      </c>
      <c r="N86" s="22"/>
      <c r="O86" s="101"/>
    </row>
    <row r="87" spans="2:15" ht="13" x14ac:dyDescent="0.15">
      <c r="B87" s="18"/>
      <c r="C87" s="19"/>
      <c r="D87" s="13"/>
      <c r="E87" s="14"/>
      <c r="F87" s="20"/>
      <c r="G87" s="20"/>
      <c r="H87" s="14"/>
      <c r="I87" s="14"/>
      <c r="J87" s="14"/>
      <c r="K87" s="14"/>
      <c r="L87" s="15"/>
      <c r="M87" s="16">
        <f t="shared" si="1"/>
        <v>0</v>
      </c>
      <c r="N87" s="22"/>
      <c r="O87" s="101"/>
    </row>
    <row r="88" spans="2:15" ht="13" x14ac:dyDescent="0.15">
      <c r="B88" s="18"/>
      <c r="C88" s="19"/>
      <c r="D88" s="13"/>
      <c r="E88" s="14"/>
      <c r="F88" s="20"/>
      <c r="G88" s="20"/>
      <c r="H88" s="14"/>
      <c r="I88" s="14"/>
      <c r="J88" s="14"/>
      <c r="K88" s="14"/>
      <c r="L88" s="15"/>
      <c r="M88" s="16">
        <f t="shared" si="1"/>
        <v>0</v>
      </c>
      <c r="N88" s="22"/>
      <c r="O88" s="101"/>
    </row>
    <row r="89" spans="2:15" ht="13" x14ac:dyDescent="0.15">
      <c r="B89" s="18"/>
      <c r="C89" s="19"/>
      <c r="D89" s="13"/>
      <c r="E89" s="14"/>
      <c r="F89" s="20"/>
      <c r="G89" s="20"/>
      <c r="H89" s="14"/>
      <c r="I89" s="14"/>
      <c r="J89" s="14"/>
      <c r="K89" s="14"/>
      <c r="L89" s="15"/>
      <c r="M89" s="16">
        <f t="shared" si="1"/>
        <v>0</v>
      </c>
      <c r="N89" s="22"/>
      <c r="O89" s="101"/>
    </row>
    <row r="90" spans="2:15" ht="13" x14ac:dyDescent="0.15">
      <c r="B90" s="18"/>
      <c r="C90" s="12"/>
      <c r="D90" s="13"/>
      <c r="E90" s="14"/>
      <c r="F90" s="20"/>
      <c r="G90" s="20"/>
      <c r="H90" s="14"/>
      <c r="I90" s="14"/>
      <c r="J90" s="20"/>
      <c r="K90" s="14"/>
      <c r="L90" s="15"/>
      <c r="M90" s="16">
        <f>(D90+K90+E90+F90+G90)*H90*I90*J90*L90</f>
        <v>0</v>
      </c>
      <c r="N90" s="22"/>
      <c r="O90" s="101"/>
    </row>
    <row r="91" spans="2:15" ht="13" x14ac:dyDescent="0.15">
      <c r="B91" s="18"/>
      <c r="C91" s="19"/>
      <c r="D91" s="13"/>
      <c r="E91" s="14"/>
      <c r="F91" s="20"/>
      <c r="G91" s="20"/>
      <c r="H91" s="14"/>
      <c r="I91" s="14"/>
      <c r="J91" s="20"/>
      <c r="K91" s="14"/>
      <c r="L91" s="15"/>
      <c r="M91" s="16">
        <f t="shared" si="1"/>
        <v>0</v>
      </c>
      <c r="N91" s="22"/>
      <c r="O91" s="101"/>
    </row>
    <row r="92" spans="2:15" ht="13" x14ac:dyDescent="0.15">
      <c r="B92" s="18"/>
      <c r="C92" s="19"/>
      <c r="D92" s="13"/>
      <c r="E92" s="14"/>
      <c r="F92" s="20"/>
      <c r="G92" s="20"/>
      <c r="H92" s="14"/>
      <c r="I92" s="14"/>
      <c r="J92" s="20"/>
      <c r="K92" s="14"/>
      <c r="L92" s="15"/>
      <c r="M92" s="16">
        <f t="shared" si="1"/>
        <v>0</v>
      </c>
      <c r="N92" s="22"/>
      <c r="O92" s="101"/>
    </row>
    <row r="93" spans="2:15" ht="13" x14ac:dyDescent="0.15">
      <c r="B93" s="18"/>
      <c r="C93" s="19"/>
      <c r="D93" s="13"/>
      <c r="E93" s="14"/>
      <c r="F93" s="20"/>
      <c r="G93" s="20"/>
      <c r="H93" s="14"/>
      <c r="I93" s="14"/>
      <c r="J93" s="20"/>
      <c r="K93" s="14"/>
      <c r="L93" s="15"/>
      <c r="M93" s="16">
        <f t="shared" si="1"/>
        <v>0</v>
      </c>
      <c r="N93" s="22"/>
      <c r="O93" s="101"/>
    </row>
    <row r="94" spans="2:15" ht="13" x14ac:dyDescent="0.15">
      <c r="B94" s="18"/>
      <c r="C94" s="19"/>
      <c r="D94" s="13"/>
      <c r="E94" s="14"/>
      <c r="F94" s="20"/>
      <c r="G94" s="20"/>
      <c r="H94" s="14"/>
      <c r="I94" s="14"/>
      <c r="J94" s="20"/>
      <c r="K94" s="14"/>
      <c r="L94" s="15"/>
      <c r="M94" s="16">
        <f t="shared" si="1"/>
        <v>0</v>
      </c>
      <c r="N94" s="22"/>
      <c r="O94" s="101"/>
    </row>
    <row r="95" spans="2:15" ht="13" x14ac:dyDescent="0.15">
      <c r="B95" s="18"/>
      <c r="C95" s="12"/>
      <c r="D95" s="13"/>
      <c r="E95" s="14"/>
      <c r="F95" s="20"/>
      <c r="G95" s="20"/>
      <c r="H95" s="14"/>
      <c r="I95" s="14"/>
      <c r="J95" s="20"/>
      <c r="K95" s="14"/>
      <c r="L95" s="15"/>
      <c r="M95" s="16">
        <f>(D95+K95+E95+F95+G95)*H95*I95*J95*L95</f>
        <v>0</v>
      </c>
      <c r="N95" s="22"/>
      <c r="O95" s="101"/>
    </row>
    <row r="96" spans="2:15" ht="13" x14ac:dyDescent="0.15">
      <c r="B96" s="18"/>
      <c r="C96" s="19"/>
      <c r="D96" s="13"/>
      <c r="E96" s="14"/>
      <c r="F96" s="20"/>
      <c r="G96" s="20"/>
      <c r="H96" s="14"/>
      <c r="I96" s="14"/>
      <c r="J96" s="20"/>
      <c r="K96" s="14"/>
      <c r="L96" s="15"/>
      <c r="M96" s="16">
        <f t="shared" ref="M96:M124" si="2">(D96+K96+E96+F96+G96)*H96*I96*J96*L96</f>
        <v>0</v>
      </c>
      <c r="N96" s="22"/>
      <c r="O96" s="101"/>
    </row>
    <row r="97" spans="2:15" ht="13" x14ac:dyDescent="0.15">
      <c r="B97" s="18"/>
      <c r="C97" s="19"/>
      <c r="D97" s="13"/>
      <c r="E97" s="14"/>
      <c r="F97" s="20"/>
      <c r="G97" s="20"/>
      <c r="H97" s="14"/>
      <c r="I97" s="14"/>
      <c r="J97" s="20"/>
      <c r="K97" s="14"/>
      <c r="L97" s="15"/>
      <c r="M97" s="16">
        <f t="shared" si="2"/>
        <v>0</v>
      </c>
      <c r="N97" s="22"/>
      <c r="O97" s="101"/>
    </row>
    <row r="98" spans="2:15" ht="13" x14ac:dyDescent="0.15">
      <c r="B98" s="18"/>
      <c r="C98" s="19"/>
      <c r="D98" s="13"/>
      <c r="E98" s="14"/>
      <c r="F98" s="20"/>
      <c r="G98" s="20"/>
      <c r="H98" s="14"/>
      <c r="I98" s="14"/>
      <c r="J98" s="20"/>
      <c r="K98" s="14"/>
      <c r="L98" s="15"/>
      <c r="M98" s="16">
        <f t="shared" si="2"/>
        <v>0</v>
      </c>
      <c r="N98" s="22"/>
      <c r="O98" s="101"/>
    </row>
    <row r="99" spans="2:15" ht="13" x14ac:dyDescent="0.15">
      <c r="B99" s="18"/>
      <c r="C99" s="19"/>
      <c r="D99" s="13"/>
      <c r="E99" s="14"/>
      <c r="F99" s="20"/>
      <c r="G99" s="20"/>
      <c r="H99" s="14"/>
      <c r="I99" s="14"/>
      <c r="J99" s="20"/>
      <c r="K99" s="14"/>
      <c r="L99" s="15"/>
      <c r="M99" s="16">
        <f t="shared" si="2"/>
        <v>0</v>
      </c>
      <c r="N99" s="22"/>
      <c r="O99" s="101"/>
    </row>
    <row r="100" spans="2:15" ht="13" x14ac:dyDescent="0.15">
      <c r="B100" s="18"/>
      <c r="C100" s="12"/>
      <c r="D100" s="13"/>
      <c r="E100" s="14"/>
      <c r="F100" s="20"/>
      <c r="G100" s="20"/>
      <c r="H100" s="14"/>
      <c r="I100" s="14"/>
      <c r="J100" s="20"/>
      <c r="K100" s="14"/>
      <c r="L100" s="15"/>
      <c r="M100" s="16">
        <f t="shared" si="2"/>
        <v>0</v>
      </c>
      <c r="N100" s="22"/>
      <c r="O100" s="101"/>
    </row>
    <row r="101" spans="2:15" ht="13" x14ac:dyDescent="0.15">
      <c r="B101" s="18"/>
      <c r="C101" s="19"/>
      <c r="D101" s="13"/>
      <c r="E101" s="14"/>
      <c r="F101" s="20"/>
      <c r="G101" s="20"/>
      <c r="H101" s="14"/>
      <c r="I101" s="14"/>
      <c r="J101" s="20"/>
      <c r="K101" s="14"/>
      <c r="L101" s="15"/>
      <c r="M101" s="16">
        <f t="shared" si="2"/>
        <v>0</v>
      </c>
      <c r="N101" s="22"/>
      <c r="O101" s="101"/>
    </row>
    <row r="102" spans="2:15" ht="13" x14ac:dyDescent="0.15">
      <c r="B102" s="18"/>
      <c r="C102" s="19"/>
      <c r="D102" s="13"/>
      <c r="E102" s="14"/>
      <c r="F102" s="20"/>
      <c r="G102" s="20"/>
      <c r="H102" s="14"/>
      <c r="I102" s="14"/>
      <c r="J102" s="20"/>
      <c r="K102" s="14"/>
      <c r="L102" s="15"/>
      <c r="M102" s="16">
        <f t="shared" si="2"/>
        <v>0</v>
      </c>
      <c r="N102" s="22"/>
      <c r="O102" s="101"/>
    </row>
    <row r="103" spans="2:15" ht="13" x14ac:dyDescent="0.15">
      <c r="B103" s="18"/>
      <c r="C103" s="19"/>
      <c r="D103" s="13"/>
      <c r="E103" s="14"/>
      <c r="F103" s="20"/>
      <c r="G103" s="20"/>
      <c r="H103" s="14"/>
      <c r="I103" s="14"/>
      <c r="J103" s="20"/>
      <c r="K103" s="14"/>
      <c r="L103" s="15"/>
      <c r="M103" s="16">
        <f t="shared" si="2"/>
        <v>0</v>
      </c>
      <c r="N103" s="22"/>
      <c r="O103" s="101"/>
    </row>
    <row r="104" spans="2:15" ht="13" x14ac:dyDescent="0.15">
      <c r="B104" s="18"/>
      <c r="C104" s="19"/>
      <c r="D104" s="13"/>
      <c r="E104" s="14"/>
      <c r="F104" s="20"/>
      <c r="G104" s="20"/>
      <c r="H104" s="14"/>
      <c r="I104" s="14"/>
      <c r="J104" s="20"/>
      <c r="K104" s="14"/>
      <c r="L104" s="15"/>
      <c r="M104" s="16">
        <f t="shared" si="2"/>
        <v>0</v>
      </c>
      <c r="N104" s="22"/>
      <c r="O104" s="101"/>
    </row>
    <row r="105" spans="2:15" ht="13" x14ac:dyDescent="0.15">
      <c r="B105" s="18"/>
      <c r="C105" s="12"/>
      <c r="D105" s="13"/>
      <c r="E105" s="14"/>
      <c r="F105" s="20"/>
      <c r="G105" s="20"/>
      <c r="H105" s="14"/>
      <c r="I105" s="14"/>
      <c r="J105" s="20"/>
      <c r="K105" s="14"/>
      <c r="L105" s="15"/>
      <c r="M105" s="16">
        <f t="shared" si="2"/>
        <v>0</v>
      </c>
      <c r="N105" s="22"/>
      <c r="O105" s="101"/>
    </row>
    <row r="106" spans="2:15" ht="13" x14ac:dyDescent="0.15">
      <c r="B106" s="18"/>
      <c r="C106" s="19"/>
      <c r="D106" s="13"/>
      <c r="E106" s="14"/>
      <c r="F106" s="20"/>
      <c r="G106" s="20"/>
      <c r="H106" s="14"/>
      <c r="I106" s="14"/>
      <c r="J106" s="20"/>
      <c r="K106" s="14"/>
      <c r="L106" s="15"/>
      <c r="M106" s="16">
        <f t="shared" si="2"/>
        <v>0</v>
      </c>
      <c r="N106" s="22"/>
      <c r="O106" s="101"/>
    </row>
    <row r="107" spans="2:15" ht="13" x14ac:dyDescent="0.15">
      <c r="B107" s="18"/>
      <c r="C107" s="19"/>
      <c r="D107" s="13"/>
      <c r="E107" s="14"/>
      <c r="F107" s="20"/>
      <c r="G107" s="20"/>
      <c r="H107" s="14"/>
      <c r="I107" s="14"/>
      <c r="J107" s="20"/>
      <c r="K107" s="14"/>
      <c r="L107" s="15"/>
      <c r="M107" s="16">
        <f t="shared" si="2"/>
        <v>0</v>
      </c>
      <c r="N107" s="22"/>
      <c r="O107" s="101"/>
    </row>
    <row r="108" spans="2:15" ht="13" x14ac:dyDescent="0.15">
      <c r="B108" s="18"/>
      <c r="C108" s="19"/>
      <c r="D108" s="13"/>
      <c r="E108" s="14"/>
      <c r="F108" s="20"/>
      <c r="G108" s="20"/>
      <c r="H108" s="14"/>
      <c r="I108" s="14"/>
      <c r="J108" s="20"/>
      <c r="K108" s="14"/>
      <c r="L108" s="15"/>
      <c r="M108" s="16">
        <f t="shared" si="2"/>
        <v>0</v>
      </c>
      <c r="N108" s="22"/>
      <c r="O108" s="101"/>
    </row>
    <row r="109" spans="2:15" ht="13" x14ac:dyDescent="0.15">
      <c r="B109" s="18"/>
      <c r="C109" s="19"/>
      <c r="D109" s="13"/>
      <c r="E109" s="14"/>
      <c r="F109" s="20"/>
      <c r="G109" s="20"/>
      <c r="H109" s="14"/>
      <c r="I109" s="14"/>
      <c r="J109" s="20"/>
      <c r="K109" s="14"/>
      <c r="L109" s="15"/>
      <c r="M109" s="16">
        <f t="shared" si="2"/>
        <v>0</v>
      </c>
      <c r="N109" s="22"/>
      <c r="O109" s="101"/>
    </row>
    <row r="110" spans="2:15" ht="13" x14ac:dyDescent="0.15">
      <c r="B110" s="18"/>
      <c r="C110" s="12"/>
      <c r="D110" s="13"/>
      <c r="E110" s="14"/>
      <c r="F110" s="20"/>
      <c r="G110" s="20"/>
      <c r="H110" s="14"/>
      <c r="I110" s="14"/>
      <c r="J110" s="20"/>
      <c r="K110" s="14"/>
      <c r="L110" s="15"/>
      <c r="M110" s="16">
        <f t="shared" si="2"/>
        <v>0</v>
      </c>
      <c r="N110" s="22"/>
      <c r="O110" s="101"/>
    </row>
    <row r="111" spans="2:15" ht="13" x14ac:dyDescent="0.15">
      <c r="B111" s="18"/>
      <c r="C111" s="19"/>
      <c r="D111" s="13"/>
      <c r="E111" s="14"/>
      <c r="F111" s="20"/>
      <c r="G111" s="20"/>
      <c r="H111" s="14"/>
      <c r="I111" s="14"/>
      <c r="J111" s="20"/>
      <c r="K111" s="14"/>
      <c r="L111" s="15"/>
      <c r="M111" s="16">
        <f t="shared" si="2"/>
        <v>0</v>
      </c>
      <c r="N111" s="22"/>
      <c r="O111" s="101"/>
    </row>
    <row r="112" spans="2:15" ht="13" x14ac:dyDescent="0.15">
      <c r="B112" s="18"/>
      <c r="C112" s="19"/>
      <c r="D112" s="13"/>
      <c r="E112" s="14"/>
      <c r="F112" s="20"/>
      <c r="G112" s="20"/>
      <c r="H112" s="14"/>
      <c r="I112" s="14"/>
      <c r="J112" s="20"/>
      <c r="K112" s="14"/>
      <c r="L112" s="15"/>
      <c r="M112" s="16">
        <f t="shared" si="2"/>
        <v>0</v>
      </c>
      <c r="N112" s="22"/>
      <c r="O112" s="101"/>
    </row>
    <row r="113" spans="2:15" ht="13" x14ac:dyDescent="0.15">
      <c r="B113" s="18"/>
      <c r="C113" s="19"/>
      <c r="D113" s="13"/>
      <c r="E113" s="14"/>
      <c r="F113" s="20"/>
      <c r="G113" s="20"/>
      <c r="H113" s="14"/>
      <c r="I113" s="14"/>
      <c r="J113" s="20"/>
      <c r="K113" s="14"/>
      <c r="L113" s="15"/>
      <c r="M113" s="16">
        <f t="shared" si="2"/>
        <v>0</v>
      </c>
      <c r="N113" s="22"/>
      <c r="O113" s="101"/>
    </row>
    <row r="114" spans="2:15" ht="13" x14ac:dyDescent="0.15">
      <c r="B114" s="18"/>
      <c r="C114" s="19"/>
      <c r="D114" s="13"/>
      <c r="E114" s="14"/>
      <c r="F114" s="20"/>
      <c r="G114" s="20"/>
      <c r="H114" s="14"/>
      <c r="I114" s="14"/>
      <c r="J114" s="20"/>
      <c r="K114" s="14"/>
      <c r="L114" s="15"/>
      <c r="M114" s="16">
        <f t="shared" si="2"/>
        <v>0</v>
      </c>
      <c r="N114" s="22"/>
      <c r="O114" s="101"/>
    </row>
    <row r="115" spans="2:15" ht="13" x14ac:dyDescent="0.15">
      <c r="B115" s="18"/>
      <c r="C115" s="12"/>
      <c r="D115" s="13"/>
      <c r="E115" s="14"/>
      <c r="F115" s="20"/>
      <c r="G115" s="20"/>
      <c r="H115" s="14"/>
      <c r="I115" s="14"/>
      <c r="J115" s="20"/>
      <c r="K115" s="14"/>
      <c r="L115" s="15"/>
      <c r="M115" s="16">
        <f t="shared" si="2"/>
        <v>0</v>
      </c>
      <c r="N115" s="22"/>
      <c r="O115" s="101"/>
    </row>
    <row r="116" spans="2:15" ht="13" x14ac:dyDescent="0.15">
      <c r="B116" s="18"/>
      <c r="C116" s="19"/>
      <c r="D116" s="13"/>
      <c r="E116" s="14"/>
      <c r="F116" s="20"/>
      <c r="G116" s="20"/>
      <c r="H116" s="14"/>
      <c r="I116" s="14"/>
      <c r="J116" s="20"/>
      <c r="K116" s="14"/>
      <c r="L116" s="15"/>
      <c r="M116" s="16">
        <f t="shared" si="2"/>
        <v>0</v>
      </c>
      <c r="N116" s="22"/>
      <c r="O116" s="101"/>
    </row>
    <row r="117" spans="2:15" ht="13" x14ac:dyDescent="0.15">
      <c r="B117" s="18"/>
      <c r="C117" s="19"/>
      <c r="D117" s="13"/>
      <c r="E117" s="14"/>
      <c r="F117" s="20"/>
      <c r="G117" s="20"/>
      <c r="H117" s="14"/>
      <c r="I117" s="14"/>
      <c r="J117" s="20"/>
      <c r="K117" s="14"/>
      <c r="L117" s="15"/>
      <c r="M117" s="16">
        <f t="shared" si="2"/>
        <v>0</v>
      </c>
      <c r="N117" s="22"/>
      <c r="O117" s="101"/>
    </row>
    <row r="118" spans="2:15" ht="13" x14ac:dyDescent="0.15">
      <c r="B118" s="18"/>
      <c r="C118" s="19"/>
      <c r="D118" s="13"/>
      <c r="E118" s="14"/>
      <c r="F118" s="20"/>
      <c r="G118" s="20"/>
      <c r="H118" s="14"/>
      <c r="I118" s="14"/>
      <c r="J118" s="20"/>
      <c r="K118" s="14"/>
      <c r="L118" s="15"/>
      <c r="M118" s="16">
        <f t="shared" si="2"/>
        <v>0</v>
      </c>
      <c r="N118" s="22"/>
      <c r="O118" s="101"/>
    </row>
    <row r="119" spans="2:15" ht="13" x14ac:dyDescent="0.15">
      <c r="B119" s="18"/>
      <c r="C119" s="19"/>
      <c r="D119" s="13"/>
      <c r="E119" s="14"/>
      <c r="F119" s="20"/>
      <c r="G119" s="20"/>
      <c r="H119" s="14"/>
      <c r="I119" s="14"/>
      <c r="J119" s="20"/>
      <c r="K119" s="14"/>
      <c r="L119" s="15"/>
      <c r="M119" s="16">
        <f t="shared" si="2"/>
        <v>0</v>
      </c>
      <c r="N119" s="22"/>
      <c r="O119" s="101"/>
    </row>
    <row r="120" spans="2:15" ht="13" x14ac:dyDescent="0.15">
      <c r="B120" s="18"/>
      <c r="C120" s="12"/>
      <c r="D120" s="13"/>
      <c r="E120" s="14"/>
      <c r="F120" s="20"/>
      <c r="G120" s="20"/>
      <c r="H120" s="14"/>
      <c r="I120" s="14"/>
      <c r="J120" s="20"/>
      <c r="K120" s="14"/>
      <c r="L120" s="15"/>
      <c r="M120" s="16">
        <f t="shared" si="2"/>
        <v>0</v>
      </c>
      <c r="N120" s="22"/>
      <c r="O120" s="101"/>
    </row>
    <row r="121" spans="2:15" ht="13" x14ac:dyDescent="0.15">
      <c r="B121" s="18"/>
      <c r="C121" s="19"/>
      <c r="D121" s="13"/>
      <c r="E121" s="14"/>
      <c r="F121" s="20"/>
      <c r="G121" s="20"/>
      <c r="H121" s="14"/>
      <c r="I121" s="14"/>
      <c r="J121" s="20"/>
      <c r="K121" s="14"/>
      <c r="L121" s="15"/>
      <c r="M121" s="16">
        <f t="shared" si="2"/>
        <v>0</v>
      </c>
      <c r="N121" s="22"/>
      <c r="O121" s="101"/>
    </row>
    <row r="122" spans="2:15" ht="13" x14ac:dyDescent="0.15">
      <c r="B122" s="18"/>
      <c r="C122" s="19"/>
      <c r="D122" s="13"/>
      <c r="E122" s="14"/>
      <c r="F122" s="20"/>
      <c r="G122" s="20"/>
      <c r="H122" s="14"/>
      <c r="I122" s="14"/>
      <c r="J122" s="20"/>
      <c r="K122" s="14"/>
      <c r="L122" s="15"/>
      <c r="M122" s="16">
        <f t="shared" si="2"/>
        <v>0</v>
      </c>
      <c r="N122" s="22"/>
      <c r="O122" s="101"/>
    </row>
    <row r="123" spans="2:15" ht="13" x14ac:dyDescent="0.15">
      <c r="B123" s="18"/>
      <c r="C123" s="19"/>
      <c r="D123" s="13"/>
      <c r="E123" s="14"/>
      <c r="F123" s="20"/>
      <c r="G123" s="20"/>
      <c r="H123" s="14"/>
      <c r="I123" s="14"/>
      <c r="J123" s="20"/>
      <c r="K123" s="14"/>
      <c r="L123" s="15"/>
      <c r="M123" s="16">
        <f t="shared" si="2"/>
        <v>0</v>
      </c>
      <c r="N123" s="22"/>
      <c r="O123" s="101"/>
    </row>
    <row r="124" spans="2:15" ht="13" x14ac:dyDescent="0.15">
      <c r="B124" s="18"/>
      <c r="C124" s="19"/>
      <c r="D124" s="13"/>
      <c r="E124" s="14"/>
      <c r="F124" s="20"/>
      <c r="G124" s="20"/>
      <c r="H124" s="14"/>
      <c r="I124" s="14"/>
      <c r="J124" s="20"/>
      <c r="K124" s="14"/>
      <c r="L124" s="15"/>
      <c r="M124" s="16">
        <f t="shared" si="2"/>
        <v>0</v>
      </c>
      <c r="N124" s="22"/>
      <c r="O124" s="101"/>
    </row>
    <row r="125" spans="2:15" ht="13" x14ac:dyDescent="0.15">
      <c r="B125" s="18"/>
      <c r="C125" s="12"/>
      <c r="D125" s="23"/>
      <c r="E125" s="14"/>
      <c r="F125" s="20"/>
      <c r="G125" s="20"/>
      <c r="H125" s="14"/>
      <c r="I125" s="14"/>
      <c r="J125" s="20"/>
      <c r="K125" s="14"/>
      <c r="L125" s="15"/>
      <c r="M125" s="16">
        <f>(D125+K125+E125+F125+G125)*H125*I125*J125*L125</f>
        <v>0</v>
      </c>
      <c r="N125" s="22"/>
      <c r="O125" s="101"/>
    </row>
    <row r="126" spans="2:15" ht="13" x14ac:dyDescent="0.15">
      <c r="B126" s="18"/>
      <c r="C126" s="19"/>
      <c r="D126" s="23"/>
      <c r="E126" s="14"/>
      <c r="F126" s="20"/>
      <c r="G126" s="20"/>
      <c r="H126" s="14"/>
      <c r="I126" s="14"/>
      <c r="J126" s="20"/>
      <c r="K126" s="14"/>
      <c r="L126" s="15"/>
      <c r="M126" s="16">
        <f t="shared" ref="M126:M155" si="3">(D126+K126+E126+F126+G126)*H126*I126*J126*L126</f>
        <v>0</v>
      </c>
      <c r="N126" s="22"/>
      <c r="O126" s="101"/>
    </row>
    <row r="127" spans="2:15" ht="13" x14ac:dyDescent="0.15">
      <c r="B127" s="18"/>
      <c r="C127" s="19"/>
      <c r="D127" s="23"/>
      <c r="E127" s="14"/>
      <c r="F127" s="20"/>
      <c r="G127" s="20"/>
      <c r="H127" s="14"/>
      <c r="I127" s="14"/>
      <c r="J127" s="20"/>
      <c r="K127" s="14"/>
      <c r="L127" s="15"/>
      <c r="M127" s="16">
        <f t="shared" si="3"/>
        <v>0</v>
      </c>
      <c r="N127" s="22"/>
      <c r="O127" s="101"/>
    </row>
    <row r="128" spans="2:15" ht="13" x14ac:dyDescent="0.15">
      <c r="B128" s="18"/>
      <c r="C128" s="19"/>
      <c r="D128" s="23"/>
      <c r="E128" s="14"/>
      <c r="F128" s="20"/>
      <c r="G128" s="20"/>
      <c r="H128" s="14"/>
      <c r="I128" s="14"/>
      <c r="J128" s="20"/>
      <c r="K128" s="14"/>
      <c r="L128" s="15"/>
      <c r="M128" s="16">
        <f t="shared" si="3"/>
        <v>0</v>
      </c>
      <c r="N128" s="22"/>
      <c r="O128" s="101"/>
    </row>
    <row r="129" spans="2:15" ht="13" x14ac:dyDescent="0.15">
      <c r="B129" s="18"/>
      <c r="C129" s="19"/>
      <c r="D129" s="23"/>
      <c r="E129" s="14"/>
      <c r="F129" s="20"/>
      <c r="G129" s="20"/>
      <c r="H129" s="14"/>
      <c r="I129" s="14"/>
      <c r="J129" s="20"/>
      <c r="K129" s="14"/>
      <c r="L129" s="15"/>
      <c r="M129" s="16">
        <f t="shared" si="3"/>
        <v>0</v>
      </c>
      <c r="N129" s="22"/>
      <c r="O129" s="101"/>
    </row>
    <row r="130" spans="2:15" ht="13" x14ac:dyDescent="0.15">
      <c r="B130" s="18"/>
      <c r="C130" s="12"/>
      <c r="D130" s="23"/>
      <c r="E130" s="14"/>
      <c r="F130" s="20"/>
      <c r="G130" s="20"/>
      <c r="H130" s="14"/>
      <c r="I130" s="14"/>
      <c r="J130" s="20"/>
      <c r="K130" s="14"/>
      <c r="L130" s="15"/>
      <c r="M130" s="16">
        <f t="shared" si="3"/>
        <v>0</v>
      </c>
      <c r="N130" s="22"/>
      <c r="O130" s="101"/>
    </row>
    <row r="131" spans="2:15" ht="13" x14ac:dyDescent="0.15">
      <c r="B131" s="18"/>
      <c r="C131" s="19"/>
      <c r="D131" s="23"/>
      <c r="E131" s="14"/>
      <c r="F131" s="20"/>
      <c r="G131" s="20"/>
      <c r="H131" s="14"/>
      <c r="I131" s="14"/>
      <c r="J131" s="20"/>
      <c r="K131" s="14"/>
      <c r="L131" s="15"/>
      <c r="M131" s="16">
        <f t="shared" si="3"/>
        <v>0</v>
      </c>
      <c r="N131" s="22"/>
      <c r="O131" s="101"/>
    </row>
    <row r="132" spans="2:15" ht="13" x14ac:dyDescent="0.15">
      <c r="B132" s="18"/>
      <c r="C132" s="19"/>
      <c r="D132" s="23"/>
      <c r="E132" s="14"/>
      <c r="F132" s="20"/>
      <c r="G132" s="20"/>
      <c r="H132" s="14"/>
      <c r="I132" s="14"/>
      <c r="J132" s="20"/>
      <c r="K132" s="14"/>
      <c r="L132" s="15"/>
      <c r="M132" s="16">
        <f t="shared" si="3"/>
        <v>0</v>
      </c>
      <c r="N132" s="22"/>
      <c r="O132" s="101"/>
    </row>
    <row r="133" spans="2:15" ht="13" x14ac:dyDescent="0.15">
      <c r="B133" s="18"/>
      <c r="C133" s="19"/>
      <c r="D133" s="23"/>
      <c r="E133" s="14"/>
      <c r="F133" s="20"/>
      <c r="G133" s="20"/>
      <c r="H133" s="14"/>
      <c r="I133" s="14"/>
      <c r="J133" s="20"/>
      <c r="K133" s="14"/>
      <c r="L133" s="15"/>
      <c r="M133" s="16">
        <f t="shared" si="3"/>
        <v>0</v>
      </c>
      <c r="N133" s="22"/>
      <c r="O133" s="101"/>
    </row>
    <row r="134" spans="2:15" ht="13" x14ac:dyDescent="0.15">
      <c r="B134" s="18"/>
      <c r="C134" s="19"/>
      <c r="D134" s="23"/>
      <c r="E134" s="14"/>
      <c r="F134" s="20"/>
      <c r="G134" s="20"/>
      <c r="H134" s="14"/>
      <c r="I134" s="14"/>
      <c r="J134" s="20"/>
      <c r="K134" s="14"/>
      <c r="L134" s="15"/>
      <c r="M134" s="16">
        <f t="shared" si="3"/>
        <v>0</v>
      </c>
      <c r="N134" s="22"/>
      <c r="O134" s="101"/>
    </row>
    <row r="135" spans="2:15" ht="13" x14ac:dyDescent="0.15">
      <c r="B135" s="18"/>
      <c r="C135" s="12"/>
      <c r="D135" s="23"/>
      <c r="E135" s="14"/>
      <c r="F135" s="20"/>
      <c r="G135" s="20"/>
      <c r="H135" s="14"/>
      <c r="I135" s="14"/>
      <c r="J135" s="20"/>
      <c r="K135" s="14"/>
      <c r="L135" s="15"/>
      <c r="M135" s="16">
        <f t="shared" si="3"/>
        <v>0</v>
      </c>
      <c r="N135" s="22"/>
      <c r="O135" s="101"/>
    </row>
    <row r="136" spans="2:15" ht="13" x14ac:dyDescent="0.15">
      <c r="B136" s="18"/>
      <c r="C136" s="19"/>
      <c r="D136" s="23"/>
      <c r="E136" s="14"/>
      <c r="F136" s="20"/>
      <c r="G136" s="20"/>
      <c r="H136" s="14"/>
      <c r="I136" s="14"/>
      <c r="J136" s="20"/>
      <c r="K136" s="14"/>
      <c r="L136" s="15"/>
      <c r="M136" s="16">
        <f t="shared" si="3"/>
        <v>0</v>
      </c>
      <c r="N136" s="22"/>
      <c r="O136" s="101"/>
    </row>
    <row r="137" spans="2:15" ht="13" x14ac:dyDescent="0.15">
      <c r="B137" s="18"/>
      <c r="C137" s="19"/>
      <c r="D137" s="23"/>
      <c r="E137" s="14"/>
      <c r="F137" s="20"/>
      <c r="G137" s="20"/>
      <c r="H137" s="14"/>
      <c r="I137" s="14"/>
      <c r="J137" s="20"/>
      <c r="K137" s="14"/>
      <c r="L137" s="15"/>
      <c r="M137" s="16">
        <f t="shared" si="3"/>
        <v>0</v>
      </c>
      <c r="N137" s="22"/>
      <c r="O137" s="101"/>
    </row>
    <row r="138" spans="2:15" ht="13" x14ac:dyDescent="0.15">
      <c r="B138" s="18"/>
      <c r="C138" s="19"/>
      <c r="D138" s="23"/>
      <c r="E138" s="14"/>
      <c r="F138" s="20"/>
      <c r="G138" s="20"/>
      <c r="H138" s="14"/>
      <c r="I138" s="14"/>
      <c r="J138" s="20"/>
      <c r="K138" s="14"/>
      <c r="L138" s="15"/>
      <c r="M138" s="16">
        <f t="shared" si="3"/>
        <v>0</v>
      </c>
      <c r="N138" s="22"/>
      <c r="O138" s="101"/>
    </row>
    <row r="139" spans="2:15" ht="13" x14ac:dyDescent="0.15">
      <c r="B139" s="18"/>
      <c r="C139" s="19"/>
      <c r="D139" s="23"/>
      <c r="E139" s="14"/>
      <c r="F139" s="20"/>
      <c r="G139" s="20"/>
      <c r="H139" s="14"/>
      <c r="I139" s="14"/>
      <c r="J139" s="20"/>
      <c r="K139" s="14"/>
      <c r="L139" s="15"/>
      <c r="M139" s="16">
        <f t="shared" si="3"/>
        <v>0</v>
      </c>
      <c r="N139" s="22"/>
      <c r="O139" s="101"/>
    </row>
    <row r="140" spans="2:15" ht="13" x14ac:dyDescent="0.15">
      <c r="B140" s="18"/>
      <c r="C140" s="12"/>
      <c r="D140" s="23"/>
      <c r="E140" s="14"/>
      <c r="F140" s="20"/>
      <c r="G140" s="20"/>
      <c r="H140" s="14"/>
      <c r="I140" s="14"/>
      <c r="J140" s="20"/>
      <c r="K140" s="14"/>
      <c r="L140" s="15"/>
      <c r="M140" s="16">
        <f t="shared" si="3"/>
        <v>0</v>
      </c>
      <c r="N140" s="22"/>
      <c r="O140" s="101"/>
    </row>
    <row r="141" spans="2:15" ht="13" x14ac:dyDescent="0.15">
      <c r="B141" s="18"/>
      <c r="C141" s="12"/>
      <c r="D141" s="23"/>
      <c r="E141" s="14"/>
      <c r="F141" s="20"/>
      <c r="G141" s="20"/>
      <c r="H141" s="14"/>
      <c r="I141" s="14"/>
      <c r="J141" s="20"/>
      <c r="K141" s="14"/>
      <c r="L141" s="15"/>
      <c r="M141" s="16">
        <f t="shared" si="3"/>
        <v>0</v>
      </c>
      <c r="N141" s="22"/>
      <c r="O141" s="101"/>
    </row>
    <row r="142" spans="2:15" ht="13" x14ac:dyDescent="0.15">
      <c r="B142" s="18"/>
      <c r="C142" s="12"/>
      <c r="D142" s="23"/>
      <c r="E142" s="14"/>
      <c r="F142" s="20"/>
      <c r="G142" s="20"/>
      <c r="H142" s="14"/>
      <c r="I142" s="14"/>
      <c r="J142" s="20"/>
      <c r="K142" s="14"/>
      <c r="L142" s="15"/>
      <c r="M142" s="16">
        <f t="shared" si="3"/>
        <v>0</v>
      </c>
      <c r="N142" s="22"/>
      <c r="O142" s="101"/>
    </row>
    <row r="143" spans="2:15" ht="13" x14ac:dyDescent="0.15">
      <c r="B143" s="18"/>
      <c r="C143" s="12"/>
      <c r="D143" s="23"/>
      <c r="E143" s="14"/>
      <c r="F143" s="20"/>
      <c r="G143" s="20"/>
      <c r="H143" s="14"/>
      <c r="I143" s="14"/>
      <c r="J143" s="20"/>
      <c r="K143" s="14"/>
      <c r="L143" s="15"/>
      <c r="M143" s="16">
        <f t="shared" si="3"/>
        <v>0</v>
      </c>
      <c r="N143" s="22"/>
      <c r="O143" s="101"/>
    </row>
    <row r="144" spans="2:15" ht="13" x14ac:dyDescent="0.15">
      <c r="B144" s="18"/>
      <c r="C144" s="19"/>
      <c r="D144" s="23"/>
      <c r="E144" s="14"/>
      <c r="F144" s="20"/>
      <c r="G144" s="20"/>
      <c r="H144" s="14"/>
      <c r="I144" s="14"/>
      <c r="J144" s="20"/>
      <c r="K144" s="14"/>
      <c r="L144" s="15"/>
      <c r="M144" s="16">
        <f t="shared" si="3"/>
        <v>0</v>
      </c>
      <c r="N144" s="22"/>
      <c r="O144" s="101"/>
    </row>
    <row r="145" spans="2:15" ht="13" x14ac:dyDescent="0.15">
      <c r="B145" s="18"/>
      <c r="C145" s="19"/>
      <c r="D145" s="23"/>
      <c r="E145" s="14"/>
      <c r="F145" s="20"/>
      <c r="G145" s="20"/>
      <c r="H145" s="14"/>
      <c r="I145" s="14"/>
      <c r="J145" s="20"/>
      <c r="K145" s="14"/>
      <c r="L145" s="15"/>
      <c r="M145" s="16">
        <f t="shared" si="3"/>
        <v>0</v>
      </c>
      <c r="N145" s="22"/>
      <c r="O145" s="101"/>
    </row>
    <row r="146" spans="2:15" ht="13" x14ac:dyDescent="0.15">
      <c r="B146" s="18"/>
      <c r="C146" s="19"/>
      <c r="D146" s="23"/>
      <c r="E146" s="14"/>
      <c r="F146" s="20"/>
      <c r="G146" s="20"/>
      <c r="H146" s="14"/>
      <c r="I146" s="14"/>
      <c r="J146" s="20"/>
      <c r="K146" s="14"/>
      <c r="L146" s="15"/>
      <c r="M146" s="16">
        <f t="shared" si="3"/>
        <v>0</v>
      </c>
      <c r="N146" s="22"/>
      <c r="O146" s="101"/>
    </row>
    <row r="147" spans="2:15" ht="13" x14ac:dyDescent="0.15">
      <c r="B147" s="18"/>
      <c r="C147" s="19"/>
      <c r="D147" s="23"/>
      <c r="E147" s="14"/>
      <c r="F147" s="20"/>
      <c r="G147" s="20"/>
      <c r="H147" s="14"/>
      <c r="I147" s="14"/>
      <c r="J147" s="20"/>
      <c r="K147" s="14"/>
      <c r="L147" s="15"/>
      <c r="M147" s="16">
        <f t="shared" si="3"/>
        <v>0</v>
      </c>
      <c r="N147" s="22"/>
      <c r="O147" s="101"/>
    </row>
    <row r="148" spans="2:15" ht="13" x14ac:dyDescent="0.15">
      <c r="B148" s="18"/>
      <c r="C148" s="12"/>
      <c r="D148" s="23"/>
      <c r="E148" s="14"/>
      <c r="F148" s="20"/>
      <c r="G148" s="20"/>
      <c r="H148" s="14"/>
      <c r="I148" s="14"/>
      <c r="J148" s="20"/>
      <c r="K148" s="14"/>
      <c r="L148" s="15"/>
      <c r="M148" s="16">
        <f t="shared" si="3"/>
        <v>0</v>
      </c>
      <c r="N148" s="22"/>
      <c r="O148" s="101"/>
    </row>
    <row r="149" spans="2:15" ht="13" x14ac:dyDescent="0.15">
      <c r="B149" s="18"/>
      <c r="C149" s="19"/>
      <c r="D149" s="23"/>
      <c r="E149" s="14"/>
      <c r="F149" s="20"/>
      <c r="G149" s="20"/>
      <c r="H149" s="14"/>
      <c r="I149" s="14"/>
      <c r="J149" s="20"/>
      <c r="K149" s="14"/>
      <c r="L149" s="15"/>
      <c r="M149" s="16">
        <f t="shared" si="3"/>
        <v>0</v>
      </c>
      <c r="N149" s="22"/>
      <c r="O149" s="101"/>
    </row>
    <row r="150" spans="2:15" ht="13" x14ac:dyDescent="0.15">
      <c r="B150" s="18"/>
      <c r="C150" s="19"/>
      <c r="D150" s="23"/>
      <c r="E150" s="14"/>
      <c r="F150" s="20"/>
      <c r="G150" s="20"/>
      <c r="H150" s="14"/>
      <c r="I150" s="14"/>
      <c r="J150" s="20"/>
      <c r="K150" s="14"/>
      <c r="L150" s="15"/>
      <c r="M150" s="16">
        <f t="shared" si="3"/>
        <v>0</v>
      </c>
      <c r="N150" s="22"/>
      <c r="O150" s="101"/>
    </row>
    <row r="151" spans="2:15" ht="13" x14ac:dyDescent="0.15">
      <c r="B151" s="18"/>
      <c r="C151" s="19"/>
      <c r="D151" s="23"/>
      <c r="E151" s="14"/>
      <c r="F151" s="20"/>
      <c r="G151" s="20"/>
      <c r="H151" s="14"/>
      <c r="I151" s="14"/>
      <c r="J151" s="20"/>
      <c r="K151" s="14"/>
      <c r="L151" s="15"/>
      <c r="M151" s="16">
        <f t="shared" si="3"/>
        <v>0</v>
      </c>
      <c r="N151" s="22"/>
      <c r="O151" s="101"/>
    </row>
    <row r="152" spans="2:15" ht="13" x14ac:dyDescent="0.15">
      <c r="B152" s="18"/>
      <c r="C152" s="19"/>
      <c r="D152" s="23"/>
      <c r="E152" s="14"/>
      <c r="F152" s="20"/>
      <c r="G152" s="20"/>
      <c r="H152" s="14"/>
      <c r="I152" s="14"/>
      <c r="J152" s="20"/>
      <c r="K152" s="14"/>
      <c r="L152" s="15"/>
      <c r="M152" s="16">
        <f t="shared" si="3"/>
        <v>0</v>
      </c>
      <c r="N152" s="22"/>
      <c r="O152" s="101"/>
    </row>
    <row r="153" spans="2:15" ht="13" x14ac:dyDescent="0.15">
      <c r="B153" s="18"/>
      <c r="C153" s="12"/>
      <c r="D153" s="23"/>
      <c r="E153" s="14"/>
      <c r="F153" s="20"/>
      <c r="G153" s="20"/>
      <c r="H153" s="14"/>
      <c r="I153" s="14"/>
      <c r="J153" s="20"/>
      <c r="K153" s="14"/>
      <c r="L153" s="15"/>
      <c r="M153" s="16">
        <f t="shared" si="3"/>
        <v>0</v>
      </c>
      <c r="N153" s="22"/>
      <c r="O153" s="101"/>
    </row>
    <row r="154" spans="2:15" ht="13" x14ac:dyDescent="0.15">
      <c r="B154" s="18"/>
      <c r="C154" s="12"/>
      <c r="D154" s="23"/>
      <c r="E154" s="14"/>
      <c r="F154" s="20"/>
      <c r="G154" s="20"/>
      <c r="H154" s="14"/>
      <c r="I154" s="14"/>
      <c r="J154" s="20"/>
      <c r="K154" s="14"/>
      <c r="L154" s="15"/>
      <c r="M154" s="16">
        <f t="shared" si="3"/>
        <v>0</v>
      </c>
      <c r="N154" s="22"/>
      <c r="O154" s="101"/>
    </row>
    <row r="155" spans="2:15" ht="13" x14ac:dyDescent="0.15">
      <c r="B155" s="18"/>
      <c r="C155" s="12"/>
      <c r="D155" s="23"/>
      <c r="E155" s="14"/>
      <c r="F155" s="20"/>
      <c r="G155" s="20"/>
      <c r="H155" s="14"/>
      <c r="I155" s="14"/>
      <c r="J155" s="20"/>
      <c r="K155" s="14"/>
      <c r="L155" s="15"/>
      <c r="M155" s="16">
        <f t="shared" si="3"/>
        <v>0</v>
      </c>
      <c r="N155" s="22"/>
      <c r="O155" s="101"/>
    </row>
    <row r="156" spans="2:15" ht="13" x14ac:dyDescent="0.15">
      <c r="B156" s="18"/>
      <c r="C156" s="19"/>
      <c r="D156" s="23"/>
      <c r="E156" s="14"/>
      <c r="F156" s="20"/>
      <c r="G156" s="20"/>
      <c r="H156" s="14"/>
      <c r="I156" s="14"/>
      <c r="J156" s="20"/>
      <c r="K156" s="14"/>
      <c r="L156" s="15"/>
      <c r="M156" s="16">
        <f>(D156+K156+E156+F156+G156)*H156*I156*J156*L156</f>
        <v>0</v>
      </c>
      <c r="N156" s="22"/>
      <c r="O156" s="101"/>
    </row>
    <row r="157" spans="2:15" ht="13" x14ac:dyDescent="0.15">
      <c r="B157" s="18"/>
      <c r="C157" s="19"/>
      <c r="D157" s="23"/>
      <c r="E157" s="14"/>
      <c r="F157" s="20"/>
      <c r="G157" s="20"/>
      <c r="H157" s="14"/>
      <c r="I157" s="14"/>
      <c r="J157" s="20"/>
      <c r="K157" s="14"/>
      <c r="L157" s="15"/>
      <c r="M157" s="16">
        <f t="shared" ref="M157:M214" si="4">(D157+K157+E157+F157+G157)*H157*I157*J157*L157</f>
        <v>0</v>
      </c>
      <c r="N157" s="22"/>
      <c r="O157" s="101"/>
    </row>
    <row r="158" spans="2:15" ht="13" x14ac:dyDescent="0.15">
      <c r="B158" s="18"/>
      <c r="C158" s="19"/>
      <c r="D158" s="23"/>
      <c r="E158" s="14"/>
      <c r="F158" s="20"/>
      <c r="G158" s="20"/>
      <c r="H158" s="14"/>
      <c r="I158" s="14"/>
      <c r="J158" s="20"/>
      <c r="K158" s="14"/>
      <c r="L158" s="15"/>
      <c r="M158" s="16">
        <f t="shared" si="4"/>
        <v>0</v>
      </c>
      <c r="N158" s="22"/>
      <c r="O158" s="101"/>
    </row>
    <row r="159" spans="2:15" ht="13" x14ac:dyDescent="0.15">
      <c r="B159" s="18"/>
      <c r="C159" s="12"/>
      <c r="D159" s="23"/>
      <c r="E159" s="14"/>
      <c r="F159" s="20"/>
      <c r="G159" s="20"/>
      <c r="H159" s="14"/>
      <c r="I159" s="14"/>
      <c r="J159" s="20"/>
      <c r="K159" s="14"/>
      <c r="L159" s="15"/>
      <c r="M159" s="16">
        <f t="shared" si="4"/>
        <v>0</v>
      </c>
      <c r="N159" s="22"/>
      <c r="O159" s="101"/>
    </row>
    <row r="160" spans="2:15" ht="13" x14ac:dyDescent="0.15">
      <c r="B160" s="18"/>
      <c r="C160" s="19"/>
      <c r="D160" s="23"/>
      <c r="E160" s="14"/>
      <c r="F160" s="20"/>
      <c r="G160" s="20"/>
      <c r="H160" s="14"/>
      <c r="I160" s="14"/>
      <c r="J160" s="20"/>
      <c r="K160" s="14"/>
      <c r="L160" s="15"/>
      <c r="M160" s="16">
        <f t="shared" si="4"/>
        <v>0</v>
      </c>
      <c r="N160" s="22"/>
      <c r="O160" s="101"/>
    </row>
    <row r="161" spans="2:15" ht="13" x14ac:dyDescent="0.15">
      <c r="B161" s="18"/>
      <c r="C161" s="19"/>
      <c r="D161" s="23"/>
      <c r="E161" s="14"/>
      <c r="F161" s="20"/>
      <c r="G161" s="20"/>
      <c r="H161" s="14"/>
      <c r="I161" s="14"/>
      <c r="J161" s="20"/>
      <c r="K161" s="14"/>
      <c r="L161" s="15"/>
      <c r="M161" s="16">
        <f t="shared" si="4"/>
        <v>0</v>
      </c>
      <c r="N161" s="22"/>
      <c r="O161" s="101"/>
    </row>
    <row r="162" spans="2:15" ht="13" x14ac:dyDescent="0.15">
      <c r="B162" s="18"/>
      <c r="C162" s="19"/>
      <c r="D162" s="23"/>
      <c r="E162" s="14"/>
      <c r="F162" s="20"/>
      <c r="G162" s="20"/>
      <c r="H162" s="14"/>
      <c r="I162" s="14"/>
      <c r="J162" s="20"/>
      <c r="K162" s="14"/>
      <c r="L162" s="15"/>
      <c r="M162" s="16">
        <f t="shared" si="4"/>
        <v>0</v>
      </c>
      <c r="N162" s="22"/>
      <c r="O162" s="101"/>
    </row>
    <row r="163" spans="2:15" ht="13" x14ac:dyDescent="0.15">
      <c r="B163" s="18"/>
      <c r="C163" s="19"/>
      <c r="D163" s="23"/>
      <c r="E163" s="14"/>
      <c r="F163" s="20"/>
      <c r="G163" s="20"/>
      <c r="H163" s="14"/>
      <c r="I163" s="14"/>
      <c r="J163" s="20"/>
      <c r="K163" s="14"/>
      <c r="L163" s="15"/>
      <c r="M163" s="16">
        <f t="shared" si="4"/>
        <v>0</v>
      </c>
      <c r="N163" s="22"/>
      <c r="O163" s="101"/>
    </row>
    <row r="164" spans="2:15" ht="13" x14ac:dyDescent="0.15">
      <c r="B164" s="18"/>
      <c r="C164" s="12"/>
      <c r="D164" s="23"/>
      <c r="E164" s="14"/>
      <c r="F164" s="20"/>
      <c r="G164" s="20"/>
      <c r="H164" s="14"/>
      <c r="I164" s="14"/>
      <c r="J164" s="20"/>
      <c r="K164" s="14"/>
      <c r="L164" s="15"/>
      <c r="M164" s="16">
        <f t="shared" si="4"/>
        <v>0</v>
      </c>
      <c r="N164" s="22"/>
      <c r="O164" s="101"/>
    </row>
    <row r="165" spans="2:15" ht="13" x14ac:dyDescent="0.15">
      <c r="B165" s="18"/>
      <c r="C165" s="19"/>
      <c r="D165" s="23"/>
      <c r="E165" s="14"/>
      <c r="F165" s="20"/>
      <c r="G165" s="20"/>
      <c r="H165" s="14"/>
      <c r="I165" s="14"/>
      <c r="J165" s="20"/>
      <c r="K165" s="14"/>
      <c r="L165" s="15"/>
      <c r="M165" s="16">
        <f t="shared" si="4"/>
        <v>0</v>
      </c>
      <c r="N165" s="22"/>
      <c r="O165" s="101"/>
    </row>
    <row r="166" spans="2:15" ht="13" x14ac:dyDescent="0.15">
      <c r="B166" s="18"/>
      <c r="C166" s="19"/>
      <c r="D166" s="23"/>
      <c r="E166" s="14"/>
      <c r="F166" s="20"/>
      <c r="G166" s="20"/>
      <c r="H166" s="14"/>
      <c r="I166" s="14"/>
      <c r="J166" s="20"/>
      <c r="K166" s="14"/>
      <c r="L166" s="15"/>
      <c r="M166" s="16">
        <f t="shared" si="4"/>
        <v>0</v>
      </c>
      <c r="N166" s="22"/>
      <c r="O166" s="101"/>
    </row>
    <row r="167" spans="2:15" ht="13" x14ac:dyDescent="0.15">
      <c r="B167" s="18"/>
      <c r="C167" s="19"/>
      <c r="D167" s="23"/>
      <c r="E167" s="14"/>
      <c r="F167" s="20"/>
      <c r="G167" s="20"/>
      <c r="H167" s="14"/>
      <c r="I167" s="14"/>
      <c r="J167" s="20"/>
      <c r="K167" s="14"/>
      <c r="L167" s="15"/>
      <c r="M167" s="16">
        <f t="shared" si="4"/>
        <v>0</v>
      </c>
      <c r="N167" s="22"/>
      <c r="O167" s="101"/>
    </row>
    <row r="168" spans="2:15" ht="13" x14ac:dyDescent="0.15">
      <c r="B168" s="18"/>
      <c r="C168" s="19"/>
      <c r="D168" s="23"/>
      <c r="E168" s="14"/>
      <c r="F168" s="20"/>
      <c r="G168" s="20"/>
      <c r="H168" s="14"/>
      <c r="I168" s="14"/>
      <c r="J168" s="20"/>
      <c r="K168" s="14"/>
      <c r="L168" s="15"/>
      <c r="M168" s="16">
        <f t="shared" si="4"/>
        <v>0</v>
      </c>
      <c r="N168" s="22"/>
      <c r="O168" s="101"/>
    </row>
    <row r="169" spans="2:15" ht="13" x14ac:dyDescent="0.15">
      <c r="B169" s="18"/>
      <c r="C169" s="12"/>
      <c r="D169" s="23"/>
      <c r="E169" s="14"/>
      <c r="F169" s="20"/>
      <c r="G169" s="20"/>
      <c r="H169" s="14"/>
      <c r="I169" s="14"/>
      <c r="J169" s="20"/>
      <c r="K169" s="14"/>
      <c r="L169" s="15"/>
      <c r="M169" s="16">
        <f t="shared" si="4"/>
        <v>0</v>
      </c>
      <c r="N169" s="22"/>
      <c r="O169" s="101"/>
    </row>
    <row r="170" spans="2:15" ht="13" x14ac:dyDescent="0.15">
      <c r="B170" s="18"/>
      <c r="C170" s="19"/>
      <c r="D170" s="23"/>
      <c r="E170" s="14"/>
      <c r="F170" s="20"/>
      <c r="G170" s="20"/>
      <c r="H170" s="14"/>
      <c r="I170" s="14"/>
      <c r="J170" s="20"/>
      <c r="K170" s="14"/>
      <c r="L170" s="15"/>
      <c r="M170" s="16">
        <f t="shared" si="4"/>
        <v>0</v>
      </c>
      <c r="N170" s="22"/>
      <c r="O170" s="101"/>
    </row>
    <row r="171" spans="2:15" ht="13" x14ac:dyDescent="0.15">
      <c r="B171" s="18"/>
      <c r="C171" s="19"/>
      <c r="D171" s="23"/>
      <c r="E171" s="14"/>
      <c r="F171" s="20"/>
      <c r="G171" s="20"/>
      <c r="H171" s="14"/>
      <c r="I171" s="14"/>
      <c r="J171" s="20"/>
      <c r="K171" s="14"/>
      <c r="L171" s="15"/>
      <c r="M171" s="16">
        <f t="shared" si="4"/>
        <v>0</v>
      </c>
      <c r="N171" s="22"/>
      <c r="O171" s="101"/>
    </row>
    <row r="172" spans="2:15" ht="13" x14ac:dyDescent="0.15">
      <c r="B172" s="18"/>
      <c r="C172" s="19"/>
      <c r="D172" s="23"/>
      <c r="E172" s="14"/>
      <c r="F172" s="20"/>
      <c r="G172" s="20"/>
      <c r="H172" s="14"/>
      <c r="I172" s="14"/>
      <c r="J172" s="20"/>
      <c r="K172" s="14"/>
      <c r="L172" s="15"/>
      <c r="M172" s="16">
        <f t="shared" si="4"/>
        <v>0</v>
      </c>
      <c r="N172" s="22"/>
      <c r="O172" s="101"/>
    </row>
    <row r="173" spans="2:15" ht="13" x14ac:dyDescent="0.15">
      <c r="B173" s="18"/>
      <c r="C173" s="19"/>
      <c r="D173" s="23"/>
      <c r="E173" s="14"/>
      <c r="F173" s="20"/>
      <c r="G173" s="20"/>
      <c r="H173" s="14"/>
      <c r="I173" s="14"/>
      <c r="J173" s="20"/>
      <c r="K173" s="14"/>
      <c r="L173" s="15"/>
      <c r="M173" s="16">
        <f t="shared" si="4"/>
        <v>0</v>
      </c>
      <c r="N173" s="22"/>
      <c r="O173" s="101"/>
    </row>
    <row r="174" spans="2:15" ht="13" x14ac:dyDescent="0.15">
      <c r="B174" s="18"/>
      <c r="C174" s="24"/>
      <c r="D174" s="23"/>
      <c r="E174" s="14"/>
      <c r="F174" s="20"/>
      <c r="G174" s="20"/>
      <c r="H174" s="14"/>
      <c r="I174" s="14"/>
      <c r="J174" s="20"/>
      <c r="K174" s="14"/>
      <c r="L174" s="15"/>
      <c r="M174" s="16">
        <f t="shared" si="4"/>
        <v>0</v>
      </c>
      <c r="N174" s="22"/>
      <c r="O174" s="101"/>
    </row>
    <row r="175" spans="2:15" ht="13" x14ac:dyDescent="0.15">
      <c r="B175" s="18"/>
      <c r="C175" s="24"/>
      <c r="D175" s="23"/>
      <c r="E175" s="14"/>
      <c r="F175" s="20"/>
      <c r="G175" s="20"/>
      <c r="H175" s="14"/>
      <c r="I175" s="14"/>
      <c r="J175" s="20"/>
      <c r="K175" s="14"/>
      <c r="L175" s="15"/>
      <c r="M175" s="16">
        <f t="shared" si="4"/>
        <v>0</v>
      </c>
      <c r="N175" s="22"/>
      <c r="O175" s="101"/>
    </row>
    <row r="176" spans="2:15" ht="13" x14ac:dyDescent="0.15">
      <c r="B176" s="18"/>
      <c r="C176" s="24"/>
      <c r="D176" s="23"/>
      <c r="E176" s="14"/>
      <c r="F176" s="20"/>
      <c r="G176" s="20"/>
      <c r="H176" s="14"/>
      <c r="I176" s="14"/>
      <c r="J176" s="20"/>
      <c r="K176" s="14"/>
      <c r="L176" s="15"/>
      <c r="M176" s="16">
        <f t="shared" si="4"/>
        <v>0</v>
      </c>
      <c r="N176" s="22"/>
      <c r="O176" s="101"/>
    </row>
    <row r="177" spans="2:15" ht="13" x14ac:dyDescent="0.15">
      <c r="B177" s="18"/>
      <c r="C177" s="24"/>
      <c r="D177" s="23"/>
      <c r="E177" s="14"/>
      <c r="F177" s="20"/>
      <c r="G177" s="20"/>
      <c r="H177" s="14"/>
      <c r="I177" s="14"/>
      <c r="J177" s="20"/>
      <c r="K177" s="14"/>
      <c r="L177" s="15"/>
      <c r="M177" s="16">
        <f t="shared" si="4"/>
        <v>0</v>
      </c>
      <c r="N177" s="22"/>
      <c r="O177" s="101"/>
    </row>
    <row r="178" spans="2:15" ht="13" x14ac:dyDescent="0.15">
      <c r="B178" s="18"/>
      <c r="C178" s="24"/>
      <c r="D178" s="23"/>
      <c r="E178" s="14"/>
      <c r="F178" s="20"/>
      <c r="G178" s="20"/>
      <c r="H178" s="14"/>
      <c r="I178" s="14"/>
      <c r="J178" s="20"/>
      <c r="K178" s="14"/>
      <c r="L178" s="15"/>
      <c r="M178" s="16">
        <f t="shared" si="4"/>
        <v>0</v>
      </c>
      <c r="N178" s="22"/>
      <c r="O178" s="101"/>
    </row>
    <row r="179" spans="2:15" ht="13" x14ac:dyDescent="0.15">
      <c r="B179" s="18"/>
      <c r="C179" s="25"/>
      <c r="D179" s="23"/>
      <c r="E179" s="14"/>
      <c r="F179" s="20"/>
      <c r="G179" s="20"/>
      <c r="H179" s="14"/>
      <c r="I179" s="14"/>
      <c r="J179" s="20"/>
      <c r="K179" s="14"/>
      <c r="L179" s="15"/>
      <c r="M179" s="16">
        <f t="shared" si="4"/>
        <v>0</v>
      </c>
      <c r="N179" s="22"/>
      <c r="O179" s="101"/>
    </row>
    <row r="180" spans="2:15" ht="13" x14ac:dyDescent="0.15">
      <c r="B180" s="18"/>
      <c r="C180" s="26"/>
      <c r="D180" s="23"/>
      <c r="E180" s="14"/>
      <c r="F180" s="20"/>
      <c r="G180" s="20"/>
      <c r="H180" s="14"/>
      <c r="I180" s="14"/>
      <c r="J180" s="20"/>
      <c r="K180" s="14"/>
      <c r="L180" s="15"/>
      <c r="M180" s="16">
        <f t="shared" si="4"/>
        <v>0</v>
      </c>
      <c r="N180" s="22"/>
      <c r="O180" s="101"/>
    </row>
    <row r="181" spans="2:15" ht="13" x14ac:dyDescent="0.15">
      <c r="B181" s="18"/>
      <c r="C181" s="24"/>
      <c r="D181" s="23"/>
      <c r="E181" s="14"/>
      <c r="F181" s="20"/>
      <c r="G181" s="20"/>
      <c r="H181" s="14"/>
      <c r="I181" s="14"/>
      <c r="J181" s="20"/>
      <c r="K181" s="14"/>
      <c r="L181" s="15"/>
      <c r="M181" s="16">
        <f t="shared" si="4"/>
        <v>0</v>
      </c>
      <c r="N181" s="22"/>
      <c r="O181" s="101"/>
    </row>
    <row r="182" spans="2:15" ht="13" x14ac:dyDescent="0.15">
      <c r="B182" s="18"/>
      <c r="C182" s="24"/>
      <c r="D182" s="23"/>
      <c r="E182" s="14"/>
      <c r="F182" s="20"/>
      <c r="G182" s="20"/>
      <c r="H182" s="14"/>
      <c r="I182" s="14"/>
      <c r="J182" s="20"/>
      <c r="K182" s="14"/>
      <c r="L182" s="15"/>
      <c r="M182" s="16">
        <f t="shared" si="4"/>
        <v>0</v>
      </c>
      <c r="N182" s="22"/>
      <c r="O182" s="101"/>
    </row>
    <row r="183" spans="2:15" ht="13" x14ac:dyDescent="0.15">
      <c r="B183" s="18"/>
      <c r="C183" s="25"/>
      <c r="D183" s="23"/>
      <c r="E183" s="14"/>
      <c r="F183" s="20"/>
      <c r="G183" s="20"/>
      <c r="H183" s="14"/>
      <c r="I183" s="14"/>
      <c r="J183" s="20"/>
      <c r="K183" s="14"/>
      <c r="L183" s="15"/>
      <c r="M183" s="16">
        <f t="shared" si="4"/>
        <v>0</v>
      </c>
      <c r="N183" s="22"/>
      <c r="O183" s="101"/>
    </row>
    <row r="184" spans="2:15" ht="13" x14ac:dyDescent="0.15">
      <c r="B184" s="18"/>
      <c r="C184" s="26"/>
      <c r="D184" s="23"/>
      <c r="E184" s="14"/>
      <c r="F184" s="20"/>
      <c r="G184" s="20"/>
      <c r="H184" s="14"/>
      <c r="I184" s="14"/>
      <c r="J184" s="20"/>
      <c r="K184" s="14"/>
      <c r="L184" s="15"/>
      <c r="M184" s="16">
        <f t="shared" si="4"/>
        <v>0</v>
      </c>
      <c r="N184" s="22"/>
      <c r="O184" s="101"/>
    </row>
    <row r="185" spans="2:15" ht="13" x14ac:dyDescent="0.15">
      <c r="B185" s="18"/>
      <c r="C185" s="24"/>
      <c r="D185" s="23"/>
      <c r="E185" s="14"/>
      <c r="F185" s="20"/>
      <c r="G185" s="20"/>
      <c r="H185" s="14"/>
      <c r="I185" s="14"/>
      <c r="J185" s="20"/>
      <c r="K185" s="14"/>
      <c r="L185" s="15"/>
      <c r="M185" s="16">
        <f t="shared" si="4"/>
        <v>0</v>
      </c>
      <c r="N185" s="22"/>
      <c r="O185" s="101"/>
    </row>
    <row r="186" spans="2:15" ht="13" x14ac:dyDescent="0.15">
      <c r="B186" s="18"/>
      <c r="C186" s="24"/>
      <c r="D186" s="23"/>
      <c r="E186" s="14"/>
      <c r="F186" s="20"/>
      <c r="G186" s="20"/>
      <c r="H186" s="14"/>
      <c r="I186" s="14"/>
      <c r="J186" s="20"/>
      <c r="K186" s="14"/>
      <c r="L186" s="15"/>
      <c r="M186" s="16">
        <f t="shared" si="4"/>
        <v>0</v>
      </c>
      <c r="N186" s="22"/>
      <c r="O186" s="101"/>
    </row>
    <row r="187" spans="2:15" ht="13" x14ac:dyDescent="0.15">
      <c r="B187" s="18"/>
      <c r="C187" s="24"/>
      <c r="D187" s="23"/>
      <c r="E187" s="14"/>
      <c r="F187" s="20"/>
      <c r="G187" s="20"/>
      <c r="H187" s="14"/>
      <c r="I187" s="14"/>
      <c r="J187" s="20"/>
      <c r="K187" s="14"/>
      <c r="L187" s="15"/>
      <c r="M187" s="16">
        <f t="shared" si="4"/>
        <v>0</v>
      </c>
      <c r="N187" s="22"/>
      <c r="O187" s="101"/>
    </row>
    <row r="188" spans="2:15" ht="13" x14ac:dyDescent="0.15">
      <c r="B188" s="18"/>
      <c r="C188" s="24"/>
      <c r="D188" s="23"/>
      <c r="E188" s="14"/>
      <c r="F188" s="20"/>
      <c r="G188" s="20"/>
      <c r="H188" s="14"/>
      <c r="I188" s="14"/>
      <c r="J188" s="20"/>
      <c r="K188" s="14"/>
      <c r="L188" s="15"/>
      <c r="M188" s="16">
        <f t="shared" si="4"/>
        <v>0</v>
      </c>
      <c r="N188" s="22"/>
      <c r="O188" s="101"/>
    </row>
    <row r="189" spans="2:15" ht="13" x14ac:dyDescent="0.15">
      <c r="B189" s="18"/>
      <c r="C189" s="24"/>
      <c r="D189" s="23"/>
      <c r="E189" s="14"/>
      <c r="F189" s="20"/>
      <c r="G189" s="20"/>
      <c r="H189" s="14"/>
      <c r="I189" s="14"/>
      <c r="J189" s="20"/>
      <c r="K189" s="14"/>
      <c r="L189" s="15"/>
      <c r="M189" s="16">
        <f t="shared" si="4"/>
        <v>0</v>
      </c>
      <c r="N189" s="22"/>
      <c r="O189" s="101"/>
    </row>
    <row r="190" spans="2:15" ht="13" x14ac:dyDescent="0.15">
      <c r="B190" s="18"/>
      <c r="C190" s="27"/>
      <c r="D190" s="23"/>
      <c r="E190" s="14"/>
      <c r="F190" s="20"/>
      <c r="G190" s="20"/>
      <c r="H190" s="14"/>
      <c r="I190" s="14"/>
      <c r="J190" s="20"/>
      <c r="K190" s="14"/>
      <c r="L190" s="15"/>
      <c r="M190" s="16">
        <f t="shared" si="4"/>
        <v>0</v>
      </c>
      <c r="N190" s="22"/>
      <c r="O190" s="101"/>
    </row>
    <row r="191" spans="2:15" ht="13" x14ac:dyDescent="0.15">
      <c r="B191" s="18"/>
      <c r="C191" s="26"/>
      <c r="D191" s="23"/>
      <c r="E191" s="14"/>
      <c r="F191" s="20"/>
      <c r="G191" s="20"/>
      <c r="H191" s="14"/>
      <c r="I191" s="14"/>
      <c r="J191" s="20"/>
      <c r="K191" s="14"/>
      <c r="L191" s="15"/>
      <c r="M191" s="16">
        <f t="shared" si="4"/>
        <v>0</v>
      </c>
      <c r="N191" s="22"/>
      <c r="O191" s="101"/>
    </row>
    <row r="192" spans="2:15" ht="13" x14ac:dyDescent="0.15">
      <c r="B192" s="18"/>
      <c r="C192" s="26"/>
      <c r="D192" s="23"/>
      <c r="E192" s="14"/>
      <c r="F192" s="20"/>
      <c r="G192" s="20"/>
      <c r="H192" s="14"/>
      <c r="I192" s="14"/>
      <c r="J192" s="20"/>
      <c r="K192" s="14"/>
      <c r="L192" s="15"/>
      <c r="M192" s="16">
        <f t="shared" si="4"/>
        <v>0</v>
      </c>
      <c r="N192" s="22"/>
      <c r="O192" s="101"/>
    </row>
    <row r="193" spans="2:15" ht="13" x14ac:dyDescent="0.15">
      <c r="B193" s="18"/>
      <c r="C193" s="26"/>
      <c r="D193" s="23"/>
      <c r="E193" s="14"/>
      <c r="F193" s="20"/>
      <c r="G193" s="20"/>
      <c r="H193" s="14"/>
      <c r="I193" s="14"/>
      <c r="J193" s="20"/>
      <c r="K193" s="14"/>
      <c r="L193" s="15"/>
      <c r="M193" s="16">
        <f t="shared" si="4"/>
        <v>0</v>
      </c>
      <c r="N193" s="22"/>
      <c r="O193" s="101"/>
    </row>
    <row r="194" spans="2:15" ht="13" x14ac:dyDescent="0.15">
      <c r="B194" s="18"/>
      <c r="C194" s="19"/>
      <c r="D194" s="23"/>
      <c r="E194" s="14"/>
      <c r="F194" s="20"/>
      <c r="G194" s="20"/>
      <c r="H194" s="14"/>
      <c r="I194" s="14"/>
      <c r="J194" s="20"/>
      <c r="K194" s="14"/>
      <c r="L194" s="15"/>
      <c r="M194" s="16">
        <f t="shared" si="4"/>
        <v>0</v>
      </c>
      <c r="N194" s="22"/>
      <c r="O194" s="101"/>
    </row>
    <row r="195" spans="2:15" ht="13" x14ac:dyDescent="0.15">
      <c r="B195" s="18"/>
      <c r="C195" s="19"/>
      <c r="D195" s="23"/>
      <c r="E195" s="14"/>
      <c r="F195" s="20"/>
      <c r="G195" s="20"/>
      <c r="H195" s="14"/>
      <c r="I195" s="14"/>
      <c r="J195" s="20"/>
      <c r="K195" s="14"/>
      <c r="L195" s="15"/>
      <c r="M195" s="16">
        <f t="shared" si="4"/>
        <v>0</v>
      </c>
      <c r="N195" s="22"/>
      <c r="O195" s="101"/>
    </row>
    <row r="196" spans="2:15" ht="13" x14ac:dyDescent="0.15">
      <c r="B196" s="18"/>
      <c r="C196" s="19"/>
      <c r="D196" s="23"/>
      <c r="E196" s="14"/>
      <c r="F196" s="20"/>
      <c r="G196" s="20"/>
      <c r="H196" s="14"/>
      <c r="I196" s="14"/>
      <c r="J196" s="20"/>
      <c r="K196" s="14"/>
      <c r="L196" s="15"/>
      <c r="M196" s="16">
        <f t="shared" si="4"/>
        <v>0</v>
      </c>
      <c r="N196" s="22"/>
      <c r="O196" s="101"/>
    </row>
    <row r="197" spans="2:15" ht="13" x14ac:dyDescent="0.15">
      <c r="B197" s="18"/>
      <c r="C197" s="19"/>
      <c r="D197" s="23"/>
      <c r="E197" s="14"/>
      <c r="F197" s="20"/>
      <c r="G197" s="20"/>
      <c r="H197" s="14"/>
      <c r="I197" s="14"/>
      <c r="J197" s="20"/>
      <c r="K197" s="14"/>
      <c r="L197" s="15"/>
      <c r="M197" s="16">
        <f t="shared" si="4"/>
        <v>0</v>
      </c>
      <c r="N197" s="22"/>
      <c r="O197" s="101"/>
    </row>
    <row r="198" spans="2:15" ht="13" x14ac:dyDescent="0.15">
      <c r="B198" s="18"/>
      <c r="C198" s="19"/>
      <c r="D198" s="23"/>
      <c r="E198" s="14"/>
      <c r="F198" s="20"/>
      <c r="G198" s="20"/>
      <c r="H198" s="14"/>
      <c r="I198" s="14"/>
      <c r="J198" s="20"/>
      <c r="K198" s="14"/>
      <c r="L198" s="15"/>
      <c r="M198" s="16">
        <f t="shared" si="4"/>
        <v>0</v>
      </c>
      <c r="N198" s="22"/>
      <c r="O198" s="101"/>
    </row>
    <row r="199" spans="2:15" ht="13" x14ac:dyDescent="0.15">
      <c r="B199" s="18"/>
      <c r="C199" s="27"/>
      <c r="D199" s="23"/>
      <c r="E199" s="14"/>
      <c r="F199" s="20"/>
      <c r="G199" s="20"/>
      <c r="H199" s="14"/>
      <c r="I199" s="14"/>
      <c r="J199" s="20"/>
      <c r="K199" s="14"/>
      <c r="L199" s="15"/>
      <c r="M199" s="16">
        <f t="shared" si="4"/>
        <v>0</v>
      </c>
      <c r="N199" s="22"/>
      <c r="O199" s="101"/>
    </row>
    <row r="200" spans="2:15" ht="13" x14ac:dyDescent="0.15">
      <c r="B200" s="18"/>
      <c r="C200" s="27"/>
      <c r="D200" s="23"/>
      <c r="E200" s="14"/>
      <c r="F200" s="20"/>
      <c r="G200" s="20"/>
      <c r="H200" s="14"/>
      <c r="I200" s="14"/>
      <c r="J200" s="20"/>
      <c r="K200" s="14"/>
      <c r="L200" s="15"/>
      <c r="M200" s="16">
        <f t="shared" si="4"/>
        <v>0</v>
      </c>
      <c r="N200" s="22"/>
      <c r="O200" s="101"/>
    </row>
    <row r="201" spans="2:15" ht="13" x14ac:dyDescent="0.15">
      <c r="B201" s="18"/>
      <c r="C201" s="27"/>
      <c r="D201" s="23"/>
      <c r="E201" s="14"/>
      <c r="F201" s="20"/>
      <c r="G201" s="20"/>
      <c r="H201" s="14"/>
      <c r="I201" s="14"/>
      <c r="J201" s="20"/>
      <c r="K201" s="14"/>
      <c r="L201" s="15"/>
      <c r="M201" s="16">
        <f t="shared" si="4"/>
        <v>0</v>
      </c>
      <c r="N201" s="22"/>
      <c r="O201" s="101"/>
    </row>
    <row r="202" spans="2:15" ht="13" x14ac:dyDescent="0.15">
      <c r="B202" s="18"/>
      <c r="C202" s="27"/>
      <c r="D202" s="23"/>
      <c r="E202" s="14"/>
      <c r="F202" s="20"/>
      <c r="G202" s="20"/>
      <c r="H202" s="14"/>
      <c r="I202" s="14"/>
      <c r="J202" s="20"/>
      <c r="K202" s="14"/>
      <c r="L202" s="15"/>
      <c r="M202" s="16">
        <f t="shared" si="4"/>
        <v>0</v>
      </c>
      <c r="N202" s="22"/>
      <c r="O202" s="101"/>
    </row>
    <row r="203" spans="2:15" ht="13" x14ac:dyDescent="0.15">
      <c r="B203" s="18"/>
      <c r="C203" s="27"/>
      <c r="D203" s="23"/>
      <c r="E203" s="14"/>
      <c r="F203" s="20"/>
      <c r="G203" s="20"/>
      <c r="H203" s="14"/>
      <c r="I203" s="14"/>
      <c r="J203" s="20"/>
      <c r="K203" s="14"/>
      <c r="L203" s="15"/>
      <c r="M203" s="16">
        <f t="shared" si="4"/>
        <v>0</v>
      </c>
      <c r="N203" s="22"/>
      <c r="O203" s="101"/>
    </row>
    <row r="204" spans="2:15" ht="13" x14ac:dyDescent="0.15">
      <c r="B204" s="18"/>
      <c r="C204" s="27"/>
      <c r="D204" s="23"/>
      <c r="E204" s="14"/>
      <c r="F204" s="20"/>
      <c r="G204" s="20"/>
      <c r="H204" s="14"/>
      <c r="I204" s="14"/>
      <c r="J204" s="20"/>
      <c r="K204" s="14"/>
      <c r="L204" s="15"/>
      <c r="M204" s="16">
        <f t="shared" si="4"/>
        <v>0</v>
      </c>
      <c r="N204" s="22"/>
      <c r="O204" s="101"/>
    </row>
    <row r="205" spans="2:15" ht="13" x14ac:dyDescent="0.15">
      <c r="B205" s="18"/>
      <c r="C205" s="25"/>
      <c r="D205" s="23"/>
      <c r="E205" s="14"/>
      <c r="F205" s="20"/>
      <c r="G205" s="20"/>
      <c r="H205" s="14"/>
      <c r="I205" s="14"/>
      <c r="J205" s="20"/>
      <c r="K205" s="14"/>
      <c r="L205" s="15"/>
      <c r="M205" s="16">
        <f t="shared" si="4"/>
        <v>0</v>
      </c>
      <c r="N205" s="22"/>
      <c r="O205" s="101"/>
    </row>
    <row r="206" spans="2:15" ht="13" x14ac:dyDescent="0.15">
      <c r="B206" s="18"/>
      <c r="C206" s="27"/>
      <c r="D206" s="23"/>
      <c r="E206" s="14"/>
      <c r="F206" s="20"/>
      <c r="G206" s="20"/>
      <c r="H206" s="14"/>
      <c r="I206" s="14"/>
      <c r="J206" s="20"/>
      <c r="K206" s="14"/>
      <c r="L206" s="15"/>
      <c r="M206" s="16">
        <f t="shared" si="4"/>
        <v>0</v>
      </c>
      <c r="N206" s="22"/>
      <c r="O206" s="101"/>
    </row>
    <row r="207" spans="2:15" ht="13" x14ac:dyDescent="0.15">
      <c r="B207" s="18"/>
      <c r="C207" s="27"/>
      <c r="D207" s="23"/>
      <c r="E207" s="14"/>
      <c r="F207" s="20"/>
      <c r="G207" s="20"/>
      <c r="H207" s="14"/>
      <c r="I207" s="14"/>
      <c r="J207" s="20"/>
      <c r="K207" s="14"/>
      <c r="L207" s="15"/>
      <c r="M207" s="16">
        <f t="shared" si="4"/>
        <v>0</v>
      </c>
      <c r="N207" s="22"/>
      <c r="O207" s="101"/>
    </row>
    <row r="208" spans="2:15" ht="13" x14ac:dyDescent="0.15">
      <c r="B208" s="18"/>
      <c r="C208" s="27"/>
      <c r="D208" s="23"/>
      <c r="E208" s="14"/>
      <c r="F208" s="20"/>
      <c r="G208" s="20"/>
      <c r="H208" s="14"/>
      <c r="I208" s="14"/>
      <c r="J208" s="20"/>
      <c r="K208" s="14"/>
      <c r="L208" s="15"/>
      <c r="M208" s="16">
        <f t="shared" si="4"/>
        <v>0</v>
      </c>
      <c r="N208" s="22"/>
      <c r="O208" s="101"/>
    </row>
    <row r="209" spans="2:15" ht="13" x14ac:dyDescent="0.15">
      <c r="B209" s="18"/>
      <c r="C209" s="27"/>
      <c r="D209" s="23"/>
      <c r="E209" s="14"/>
      <c r="F209" s="20"/>
      <c r="G209" s="20"/>
      <c r="H209" s="14"/>
      <c r="I209" s="14"/>
      <c r="J209" s="20"/>
      <c r="K209" s="14"/>
      <c r="L209" s="15"/>
      <c r="M209" s="16">
        <f t="shared" si="4"/>
        <v>0</v>
      </c>
      <c r="N209" s="22"/>
      <c r="O209" s="101"/>
    </row>
    <row r="210" spans="2:15" ht="13" x14ac:dyDescent="0.15">
      <c r="B210" s="18"/>
      <c r="C210" s="25"/>
      <c r="D210" s="23"/>
      <c r="E210" s="14"/>
      <c r="F210" s="20"/>
      <c r="G210" s="20"/>
      <c r="H210" s="14"/>
      <c r="I210" s="14"/>
      <c r="J210" s="20"/>
      <c r="K210" s="14"/>
      <c r="L210" s="15"/>
      <c r="M210" s="16">
        <f t="shared" si="4"/>
        <v>0</v>
      </c>
      <c r="N210" s="22"/>
      <c r="O210" s="101"/>
    </row>
    <row r="211" spans="2:15" ht="13" x14ac:dyDescent="0.15">
      <c r="B211" s="18"/>
      <c r="C211" s="27"/>
      <c r="D211" s="23"/>
      <c r="E211" s="14"/>
      <c r="F211" s="20"/>
      <c r="G211" s="20"/>
      <c r="H211" s="14"/>
      <c r="I211" s="14"/>
      <c r="J211" s="20"/>
      <c r="K211" s="14"/>
      <c r="L211" s="15"/>
      <c r="M211" s="16">
        <f t="shared" si="4"/>
        <v>0</v>
      </c>
      <c r="N211" s="22"/>
      <c r="O211" s="101"/>
    </row>
    <row r="212" spans="2:15" ht="13" x14ac:dyDescent="0.15">
      <c r="B212" s="18"/>
      <c r="C212" s="27"/>
      <c r="D212" s="23"/>
      <c r="E212" s="14"/>
      <c r="F212" s="20"/>
      <c r="G212" s="20"/>
      <c r="H212" s="14"/>
      <c r="I212" s="14"/>
      <c r="J212" s="20"/>
      <c r="K212" s="14"/>
      <c r="L212" s="15"/>
      <c r="M212" s="16">
        <f t="shared" si="4"/>
        <v>0</v>
      </c>
      <c r="N212" s="22"/>
      <c r="O212" s="101"/>
    </row>
    <row r="213" spans="2:15" ht="13" x14ac:dyDescent="0.15">
      <c r="B213" s="18"/>
      <c r="C213" s="27"/>
      <c r="D213" s="23"/>
      <c r="E213" s="14"/>
      <c r="F213" s="20"/>
      <c r="G213" s="20"/>
      <c r="H213" s="14"/>
      <c r="I213" s="14"/>
      <c r="J213" s="20"/>
      <c r="K213" s="14"/>
      <c r="L213" s="15"/>
      <c r="M213" s="16">
        <f t="shared" si="4"/>
        <v>0</v>
      </c>
      <c r="N213" s="22"/>
      <c r="O213" s="101"/>
    </row>
    <row r="214" spans="2:15" ht="14" thickBot="1" x14ac:dyDescent="0.2">
      <c r="B214" s="18"/>
      <c r="C214" s="28"/>
      <c r="D214" s="23"/>
      <c r="E214" s="14"/>
      <c r="F214" s="20"/>
      <c r="G214" s="20"/>
      <c r="H214" s="14"/>
      <c r="I214" s="14"/>
      <c r="J214" s="20"/>
      <c r="K214" s="14"/>
      <c r="L214" s="15"/>
      <c r="M214" s="16">
        <f t="shared" si="4"/>
        <v>0</v>
      </c>
      <c r="N214" s="29"/>
      <c r="O214" s="102"/>
    </row>
    <row r="215" spans="2:15" ht="24" customHeight="1" thickBot="1" x14ac:dyDescent="0.2">
      <c r="B215" s="106" t="s">
        <v>125</v>
      </c>
      <c r="C215" s="107"/>
      <c r="D215" s="108"/>
      <c r="E215" s="108"/>
      <c r="F215" s="108"/>
      <c r="G215" s="108"/>
      <c r="H215" s="108"/>
      <c r="I215" s="108"/>
      <c r="J215" s="108"/>
      <c r="K215" s="108"/>
      <c r="L215" s="109"/>
      <c r="M215" s="30">
        <f>SUM(M5:M214)</f>
        <v>0</v>
      </c>
      <c r="N215" s="10"/>
    </row>
    <row r="217" spans="2:15" ht="15.75" customHeight="1" x14ac:dyDescent="0.15">
      <c r="B217" s="31"/>
      <c r="C217" s="31"/>
      <c r="D217" s="31"/>
      <c r="E217" s="31"/>
      <c r="F217" s="31"/>
      <c r="G217" s="31"/>
    </row>
    <row r="218" spans="2:15" ht="14" x14ac:dyDescent="0.15">
      <c r="B218" s="32"/>
      <c r="C218" s="110"/>
      <c r="D218" s="110"/>
      <c r="E218" s="110"/>
      <c r="F218" s="110"/>
      <c r="G218" s="110"/>
      <c r="H218" s="110"/>
      <c r="I218" s="110"/>
      <c r="J218" s="34"/>
    </row>
    <row r="219" spans="2:15" ht="3.75" customHeight="1" x14ac:dyDescent="0.15">
      <c r="B219" s="35"/>
      <c r="C219" s="35"/>
      <c r="D219" s="33"/>
      <c r="E219" s="34"/>
      <c r="F219" s="34"/>
      <c r="G219" s="34"/>
      <c r="H219" s="34"/>
      <c r="I219" s="34"/>
      <c r="J219" s="34"/>
    </row>
    <row r="220" spans="2:15" ht="32" customHeight="1" x14ac:dyDescent="0.15">
      <c r="B220" s="32"/>
      <c r="C220" s="93"/>
      <c r="D220" s="93"/>
      <c r="E220" s="93"/>
      <c r="F220" s="93"/>
      <c r="G220" s="93"/>
      <c r="H220" s="93"/>
      <c r="I220" s="93"/>
      <c r="J220" s="93"/>
      <c r="K220" s="36"/>
      <c r="L220" s="36"/>
      <c r="N220" s="36"/>
      <c r="O220" s="36"/>
    </row>
    <row r="221" spans="2:15" ht="18" customHeight="1" x14ac:dyDescent="0.15">
      <c r="B221" s="32"/>
      <c r="C221" s="94"/>
      <c r="D221" s="94"/>
      <c r="E221" s="94"/>
      <c r="F221" s="94"/>
      <c r="G221" s="94"/>
      <c r="H221" s="94"/>
      <c r="I221" s="94"/>
      <c r="J221" s="94"/>
      <c r="K221" s="37"/>
      <c r="L221" s="37"/>
      <c r="N221" s="37"/>
      <c r="O221" s="37"/>
    </row>
    <row r="222" spans="2:15" ht="18" customHeight="1" x14ac:dyDescent="0.15">
      <c r="B222" s="32"/>
      <c r="C222" s="94"/>
      <c r="D222" s="94"/>
      <c r="E222" s="94"/>
      <c r="F222" s="94"/>
      <c r="G222" s="94"/>
      <c r="H222" s="94"/>
      <c r="I222" s="94"/>
      <c r="J222" s="94"/>
      <c r="K222" s="38"/>
      <c r="L222" s="38"/>
      <c r="N222" s="38"/>
      <c r="O222" s="38"/>
    </row>
    <row r="223" spans="2:15" ht="18" customHeight="1" x14ac:dyDescent="0.15">
      <c r="B223" s="32"/>
      <c r="C223" s="94"/>
      <c r="D223" s="94"/>
      <c r="E223" s="94"/>
      <c r="F223" s="94"/>
      <c r="G223" s="94"/>
      <c r="H223" s="94"/>
      <c r="I223" s="94"/>
      <c r="J223" s="94"/>
      <c r="K223" s="38"/>
      <c r="L223" s="38"/>
      <c r="N223" s="38"/>
      <c r="O223" s="38"/>
    </row>
    <row r="224" spans="2:15" ht="18" customHeight="1" x14ac:dyDescent="0.15">
      <c r="B224" s="32"/>
      <c r="C224" s="94"/>
      <c r="D224" s="94"/>
      <c r="E224" s="94"/>
      <c r="F224" s="94"/>
      <c r="G224" s="94"/>
      <c r="H224" s="94"/>
      <c r="I224" s="94"/>
      <c r="J224" s="94"/>
      <c r="K224" s="38"/>
      <c r="L224" s="38"/>
      <c r="N224" s="38"/>
      <c r="O224" s="38"/>
    </row>
    <row r="225" spans="2:15" ht="18" customHeight="1" x14ac:dyDescent="0.15">
      <c r="B225" s="32"/>
      <c r="C225" s="94"/>
      <c r="D225" s="94"/>
      <c r="E225" s="94"/>
      <c r="F225" s="94"/>
      <c r="G225" s="94"/>
      <c r="H225" s="94"/>
      <c r="I225" s="94"/>
      <c r="J225" s="94"/>
      <c r="K225" s="38"/>
      <c r="L225" s="38"/>
      <c r="N225" s="38"/>
      <c r="O225" s="38"/>
    </row>
    <row r="226" spans="2:15" ht="18" customHeight="1" x14ac:dyDescent="0.15">
      <c r="B226" s="32"/>
      <c r="C226" s="94"/>
      <c r="D226" s="94"/>
      <c r="E226" s="94"/>
      <c r="F226" s="94"/>
      <c r="G226" s="94"/>
      <c r="H226" s="94"/>
      <c r="I226" s="94"/>
      <c r="J226" s="94"/>
      <c r="K226" s="38"/>
      <c r="L226" s="38"/>
      <c r="N226" s="38"/>
      <c r="O226" s="38"/>
    </row>
    <row r="227" spans="2:15" ht="18" customHeight="1" x14ac:dyDescent="0.15">
      <c r="B227" s="32"/>
      <c r="C227" s="94"/>
      <c r="D227" s="94"/>
      <c r="E227" s="94"/>
      <c r="F227" s="94"/>
      <c r="G227" s="94"/>
      <c r="H227" s="94"/>
      <c r="I227" s="94"/>
      <c r="J227" s="94"/>
      <c r="K227" s="38"/>
      <c r="L227" s="38"/>
      <c r="N227" s="38"/>
      <c r="O227" s="38"/>
    </row>
    <row r="228" spans="2:15" ht="32" customHeight="1" x14ac:dyDescent="0.15">
      <c r="B228" s="32"/>
      <c r="C228" s="93"/>
      <c r="D228" s="93"/>
      <c r="E228" s="93"/>
      <c r="F228" s="93"/>
      <c r="G228" s="93"/>
      <c r="H228" s="93"/>
      <c r="I228" s="93"/>
      <c r="J228" s="93"/>
      <c r="K228" s="38"/>
      <c r="L228" s="38"/>
      <c r="N228" s="38"/>
      <c r="O228" s="38"/>
    </row>
    <row r="229" spans="2:15" ht="15.75" customHeight="1" x14ac:dyDescent="0.15">
      <c r="B229" s="34"/>
      <c r="C229" s="39"/>
      <c r="D229" s="34"/>
      <c r="E229" s="34"/>
      <c r="F229" s="34"/>
      <c r="G229" s="34"/>
      <c r="H229" s="34"/>
      <c r="I229" s="34"/>
      <c r="J229" s="34"/>
    </row>
    <row r="230" spans="2:15" ht="15.75" customHeight="1" x14ac:dyDescent="0.15">
      <c r="B230" s="40"/>
    </row>
    <row r="231" spans="2:15" ht="15.75" customHeight="1" x14ac:dyDescent="0.15">
      <c r="B231" s="40"/>
    </row>
    <row r="232" spans="2:15" ht="15.75" customHeight="1" x14ac:dyDescent="0.15">
      <c r="B232" s="40"/>
    </row>
    <row r="233" spans="2:15" ht="15.75" customHeight="1" x14ac:dyDescent="0.15">
      <c r="B233" s="40"/>
    </row>
    <row r="234" spans="2:15" ht="15.75" customHeight="1" x14ac:dyDescent="0.15">
      <c r="B234" s="40"/>
    </row>
    <row r="235" spans="2:15" ht="15.75" customHeight="1" x14ac:dyDescent="0.15">
      <c r="B235" s="40"/>
    </row>
    <row r="236" spans="2:15" ht="15.75" customHeight="1" x14ac:dyDescent="0.15">
      <c r="B236" s="40"/>
    </row>
    <row r="237" spans="2:15" ht="15.75" customHeight="1" x14ac:dyDescent="0.15">
      <c r="B237" s="40"/>
    </row>
    <row r="238" spans="2:15" ht="15.75" customHeight="1" x14ac:dyDescent="0.15">
      <c r="B238" s="40"/>
    </row>
  </sheetData>
  <mergeCells count="15">
    <mergeCell ref="B2:O2"/>
    <mergeCell ref="O5:O214"/>
    <mergeCell ref="C224:J224"/>
    <mergeCell ref="C223:J223"/>
    <mergeCell ref="B3:L3"/>
    <mergeCell ref="B215:L215"/>
    <mergeCell ref="C218:I218"/>
    <mergeCell ref="C222:J222"/>
    <mergeCell ref="C220:J220"/>
    <mergeCell ref="C228:J228"/>
    <mergeCell ref="C221:J221"/>
    <mergeCell ref="C225:J225"/>
    <mergeCell ref="C226:J226"/>
    <mergeCell ref="C227:J227"/>
    <mergeCell ref="N3:O3"/>
  </mergeCells>
  <phoneticPr fontId="0" type="noConversion"/>
  <pageMargins left="0.7" right="0.7" top="0.75" bottom="0.75" header="0" footer="0"/>
  <pageSetup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6"/>
  <sheetViews>
    <sheetView showGridLines="0" workbookViewId="0">
      <pane ySplit="4" topLeftCell="A5" activePane="bottomLeft" state="frozen"/>
      <selection pane="bottomLeft" activeCell="E11" sqref="E11"/>
    </sheetView>
  </sheetViews>
  <sheetFormatPr baseColWidth="10" defaultColWidth="11.5" defaultRowHeight="15.75" customHeight="1" x14ac:dyDescent="0.15"/>
  <cols>
    <col min="1" max="1" width="1.6640625" style="10" customWidth="1"/>
    <col min="2" max="2" width="20.5" style="41" customWidth="1"/>
    <col min="3" max="3" width="44.5" style="10" customWidth="1"/>
    <col min="4" max="4" width="16.83203125" style="10" customWidth="1"/>
    <col min="5" max="16384" width="11.5" style="10"/>
  </cols>
  <sheetData>
    <row r="1" spans="1:5" ht="8" customHeight="1" thickBot="1" x14ac:dyDescent="0.2"/>
    <row r="2" spans="1:5" s="42" customFormat="1" ht="32" customHeight="1" thickBot="1" x14ac:dyDescent="0.2">
      <c r="A2" s="10"/>
      <c r="B2" s="114" t="s">
        <v>128</v>
      </c>
      <c r="C2" s="115"/>
      <c r="D2" s="115"/>
      <c r="E2" s="116"/>
    </row>
    <row r="3" spans="1:5" ht="27.75" customHeight="1" thickBot="1" x14ac:dyDescent="0.2">
      <c r="A3" s="43"/>
      <c r="B3" s="118" t="s">
        <v>120</v>
      </c>
      <c r="C3" s="119"/>
      <c r="D3" s="119"/>
      <c r="E3" s="120"/>
    </row>
    <row r="4" spans="1:5" ht="27.75" customHeight="1" thickBot="1" x14ac:dyDescent="0.2">
      <c r="B4" s="121" t="s">
        <v>8</v>
      </c>
      <c r="C4" s="122"/>
      <c r="D4" s="91" t="s">
        <v>19</v>
      </c>
      <c r="E4" s="92" t="s">
        <v>20</v>
      </c>
    </row>
    <row r="5" spans="1:5" ht="3.75" customHeight="1" x14ac:dyDescent="0.15">
      <c r="B5" s="44"/>
      <c r="C5" s="45"/>
      <c r="D5" s="45"/>
      <c r="E5" s="46"/>
    </row>
    <row r="6" spans="1:5" ht="15.75" customHeight="1" x14ac:dyDescent="0.15">
      <c r="B6" s="111" t="s">
        <v>43</v>
      </c>
      <c r="C6" s="47" t="s">
        <v>44</v>
      </c>
      <c r="D6" s="48" t="s">
        <v>48</v>
      </c>
      <c r="E6" s="49">
        <v>1</v>
      </c>
    </row>
    <row r="7" spans="1:5" ht="15.75" customHeight="1" x14ac:dyDescent="0.15">
      <c r="B7" s="111"/>
      <c r="C7" s="47" t="s">
        <v>45</v>
      </c>
      <c r="D7" s="48" t="s">
        <v>49</v>
      </c>
      <c r="E7" s="50">
        <v>2.5</v>
      </c>
    </row>
    <row r="8" spans="1:5" ht="15.75" customHeight="1" x14ac:dyDescent="0.15">
      <c r="B8" s="111"/>
      <c r="C8" s="47" t="s">
        <v>46</v>
      </c>
      <c r="D8" s="48" t="s">
        <v>50</v>
      </c>
      <c r="E8" s="50">
        <v>5</v>
      </c>
    </row>
    <row r="9" spans="1:5" ht="15.75" customHeight="1" x14ac:dyDescent="0.15">
      <c r="B9" s="111"/>
      <c r="C9" s="47" t="s">
        <v>47</v>
      </c>
      <c r="D9" s="48" t="s">
        <v>51</v>
      </c>
      <c r="E9" s="50">
        <v>7</v>
      </c>
    </row>
    <row r="10" spans="1:5" ht="15.75" customHeight="1" x14ac:dyDescent="0.15">
      <c r="B10" s="111"/>
      <c r="C10" s="47" t="s">
        <v>103</v>
      </c>
      <c r="D10" s="48" t="s">
        <v>102</v>
      </c>
      <c r="E10" s="50">
        <v>12</v>
      </c>
    </row>
    <row r="11" spans="1:5" ht="3.75" customHeight="1" x14ac:dyDescent="0.15">
      <c r="B11" s="44"/>
      <c r="C11" s="45"/>
      <c r="D11" s="45"/>
      <c r="E11" s="46"/>
    </row>
    <row r="12" spans="1:5" ht="15.75" customHeight="1" x14ac:dyDescent="0.15">
      <c r="B12" s="117" t="s">
        <v>126</v>
      </c>
      <c r="C12" s="51" t="s">
        <v>5</v>
      </c>
      <c r="D12" s="52" t="s">
        <v>21</v>
      </c>
      <c r="E12" s="53">
        <v>1</v>
      </c>
    </row>
    <row r="13" spans="1:5" ht="15.75" customHeight="1" x14ac:dyDescent="0.15">
      <c r="B13" s="111"/>
      <c r="C13" s="47" t="s">
        <v>104</v>
      </c>
      <c r="D13" s="48" t="s">
        <v>110</v>
      </c>
      <c r="E13" s="50">
        <v>1</v>
      </c>
    </row>
    <row r="14" spans="1:5" ht="15.75" customHeight="1" x14ac:dyDescent="0.15">
      <c r="B14" s="111"/>
      <c r="C14" s="47" t="s">
        <v>106</v>
      </c>
      <c r="D14" s="48" t="s">
        <v>111</v>
      </c>
      <c r="E14" s="50">
        <v>3</v>
      </c>
    </row>
    <row r="15" spans="1:5" ht="15.75" customHeight="1" x14ac:dyDescent="0.15">
      <c r="B15" s="111"/>
      <c r="C15" s="47" t="s">
        <v>108</v>
      </c>
      <c r="D15" s="48" t="s">
        <v>112</v>
      </c>
      <c r="E15" s="50">
        <v>6</v>
      </c>
    </row>
    <row r="16" spans="1:5" ht="15.75" customHeight="1" x14ac:dyDescent="0.15">
      <c r="B16" s="111"/>
      <c r="C16" s="47" t="s">
        <v>105</v>
      </c>
      <c r="D16" s="48" t="s">
        <v>113</v>
      </c>
      <c r="E16" s="50">
        <v>1</v>
      </c>
    </row>
    <row r="17" spans="2:5" ht="15.75" customHeight="1" x14ac:dyDescent="0.15">
      <c r="B17" s="111"/>
      <c r="C17" s="47" t="s">
        <v>107</v>
      </c>
      <c r="D17" s="48" t="s">
        <v>114</v>
      </c>
      <c r="E17" s="50">
        <v>3</v>
      </c>
    </row>
    <row r="18" spans="2:5" ht="15.75" customHeight="1" x14ac:dyDescent="0.15">
      <c r="B18" s="111"/>
      <c r="C18" s="47" t="s">
        <v>109</v>
      </c>
      <c r="D18" s="48" t="s">
        <v>115</v>
      </c>
      <c r="E18" s="50">
        <v>6</v>
      </c>
    </row>
    <row r="19" spans="2:5" ht="3.75" customHeight="1" x14ac:dyDescent="0.15">
      <c r="B19" s="44"/>
      <c r="C19" s="45"/>
      <c r="D19" s="45"/>
      <c r="E19" s="46"/>
    </row>
    <row r="20" spans="2:5" ht="15.75" customHeight="1" x14ac:dyDescent="0.15">
      <c r="B20" s="111" t="s">
        <v>6</v>
      </c>
      <c r="C20" s="47" t="s">
        <v>34</v>
      </c>
      <c r="D20" s="48" t="s">
        <v>22</v>
      </c>
      <c r="E20" s="50">
        <v>1</v>
      </c>
    </row>
    <row r="21" spans="2:5" ht="15.75" customHeight="1" x14ac:dyDescent="0.15">
      <c r="B21" s="111"/>
      <c r="C21" s="47" t="s">
        <v>135</v>
      </c>
      <c r="D21" s="48" t="s">
        <v>135</v>
      </c>
      <c r="E21" s="50">
        <v>3</v>
      </c>
    </row>
    <row r="22" spans="2:5" ht="15.75" customHeight="1" x14ac:dyDescent="0.15">
      <c r="B22" s="111"/>
      <c r="C22" s="47" t="s">
        <v>136</v>
      </c>
      <c r="D22" s="48" t="s">
        <v>137</v>
      </c>
      <c r="E22" s="50">
        <v>2</v>
      </c>
    </row>
    <row r="23" spans="2:5" ht="15.75" customHeight="1" x14ac:dyDescent="0.15">
      <c r="B23" s="111"/>
      <c r="C23" s="47" t="s">
        <v>100</v>
      </c>
      <c r="D23" s="48" t="s">
        <v>98</v>
      </c>
      <c r="E23" s="50">
        <v>2</v>
      </c>
    </row>
    <row r="24" spans="2:5" ht="15.75" customHeight="1" x14ac:dyDescent="0.15">
      <c r="B24" s="111"/>
      <c r="C24" s="47" t="s">
        <v>99</v>
      </c>
      <c r="D24" s="48" t="s">
        <v>101</v>
      </c>
      <c r="E24" s="50">
        <v>1</v>
      </c>
    </row>
    <row r="25" spans="2:5" ht="15.75" customHeight="1" x14ac:dyDescent="0.15">
      <c r="B25" s="111"/>
      <c r="C25" s="54" t="s">
        <v>35</v>
      </c>
      <c r="D25" s="48" t="s">
        <v>23</v>
      </c>
      <c r="E25" s="50">
        <v>2</v>
      </c>
    </row>
    <row r="26" spans="2:5" ht="15.75" customHeight="1" x14ac:dyDescent="0.15">
      <c r="B26" s="111"/>
      <c r="C26" s="47" t="s">
        <v>36</v>
      </c>
      <c r="D26" s="48" t="s">
        <v>24</v>
      </c>
      <c r="E26" s="50">
        <v>2</v>
      </c>
    </row>
    <row r="27" spans="2:5" ht="15.75" customHeight="1" x14ac:dyDescent="0.15">
      <c r="B27" s="111"/>
      <c r="C27" s="47" t="s">
        <v>25</v>
      </c>
      <c r="D27" s="48" t="s">
        <v>26</v>
      </c>
      <c r="E27" s="50">
        <v>3</v>
      </c>
    </row>
    <row r="28" spans="2:5" ht="15.75" customHeight="1" x14ac:dyDescent="0.15">
      <c r="B28" s="111"/>
      <c r="C28" s="47" t="s">
        <v>27</v>
      </c>
      <c r="D28" s="48" t="s">
        <v>28</v>
      </c>
      <c r="E28" s="50">
        <v>1</v>
      </c>
    </row>
    <row r="29" spans="2:5" ht="15.75" customHeight="1" x14ac:dyDescent="0.15">
      <c r="B29" s="111"/>
      <c r="C29" s="47" t="s">
        <v>29</v>
      </c>
      <c r="D29" s="48" t="s">
        <v>30</v>
      </c>
      <c r="E29" s="50">
        <v>1</v>
      </c>
    </row>
    <row r="30" spans="2:5" ht="3.75" customHeight="1" x14ac:dyDescent="0.15">
      <c r="B30" s="44"/>
      <c r="C30" s="45"/>
      <c r="D30" s="45"/>
      <c r="E30" s="46"/>
    </row>
    <row r="31" spans="2:5" ht="15.75" customHeight="1" x14ac:dyDescent="0.15">
      <c r="B31" s="111" t="s">
        <v>37</v>
      </c>
      <c r="C31" s="47" t="s">
        <v>42</v>
      </c>
      <c r="D31" s="48" t="s">
        <v>60</v>
      </c>
      <c r="E31" s="50">
        <v>1.2</v>
      </c>
    </row>
    <row r="32" spans="2:5" ht="15.75" customHeight="1" x14ac:dyDescent="0.15">
      <c r="B32" s="111"/>
      <c r="C32" s="47" t="s">
        <v>31</v>
      </c>
      <c r="D32" s="48" t="s">
        <v>61</v>
      </c>
      <c r="E32" s="50">
        <v>1.1000000000000001</v>
      </c>
    </row>
    <row r="33" spans="2:5" ht="15.75" customHeight="1" x14ac:dyDescent="0.15">
      <c r="B33" s="111"/>
      <c r="C33" s="47" t="s">
        <v>32</v>
      </c>
      <c r="D33" s="48" t="s">
        <v>62</v>
      </c>
      <c r="E33" s="50">
        <v>1.3</v>
      </c>
    </row>
    <row r="34" spans="2:5" ht="15.75" customHeight="1" x14ac:dyDescent="0.15">
      <c r="B34" s="111"/>
      <c r="C34" s="47" t="s">
        <v>70</v>
      </c>
      <c r="D34" s="48" t="s">
        <v>71</v>
      </c>
      <c r="E34" s="50">
        <v>1</v>
      </c>
    </row>
    <row r="35" spans="2:5" ht="3.75" customHeight="1" x14ac:dyDescent="0.15">
      <c r="B35" s="44"/>
      <c r="C35" s="45"/>
      <c r="D35" s="45"/>
      <c r="E35" s="46"/>
    </row>
    <row r="36" spans="2:5" ht="15.75" customHeight="1" x14ac:dyDescent="0.15">
      <c r="B36" s="111" t="s">
        <v>33</v>
      </c>
      <c r="C36" s="47" t="s">
        <v>138</v>
      </c>
      <c r="D36" s="48" t="s">
        <v>139</v>
      </c>
      <c r="E36" s="50">
        <v>0.1</v>
      </c>
    </row>
    <row r="37" spans="2:5" ht="15.75" customHeight="1" x14ac:dyDescent="0.15">
      <c r="B37" s="111"/>
      <c r="C37" s="47" t="s">
        <v>38</v>
      </c>
      <c r="D37" s="48" t="s">
        <v>56</v>
      </c>
      <c r="E37" s="50">
        <v>0.2</v>
      </c>
    </row>
    <row r="38" spans="2:5" ht="15.75" customHeight="1" x14ac:dyDescent="0.15">
      <c r="B38" s="111"/>
      <c r="C38" s="47" t="s">
        <v>39</v>
      </c>
      <c r="D38" s="48" t="s">
        <v>57</v>
      </c>
      <c r="E38" s="50">
        <v>0.5</v>
      </c>
    </row>
    <row r="39" spans="2:5" ht="15.75" customHeight="1" x14ac:dyDescent="0.15">
      <c r="B39" s="111"/>
      <c r="C39" s="47" t="s">
        <v>40</v>
      </c>
      <c r="D39" s="48" t="s">
        <v>58</v>
      </c>
      <c r="E39" s="50">
        <v>0.85</v>
      </c>
    </row>
    <row r="40" spans="2:5" ht="15.75" customHeight="1" x14ac:dyDescent="0.15">
      <c r="B40" s="111"/>
      <c r="C40" s="47" t="s">
        <v>41</v>
      </c>
      <c r="D40" s="48" t="s">
        <v>59</v>
      </c>
      <c r="E40" s="50">
        <v>1</v>
      </c>
    </row>
    <row r="41" spans="2:5" ht="3.75" customHeight="1" x14ac:dyDescent="0.15">
      <c r="B41" s="44"/>
      <c r="C41" s="45"/>
      <c r="D41" s="45"/>
      <c r="E41" s="46"/>
    </row>
    <row r="42" spans="2:5" ht="15.75" customHeight="1" x14ac:dyDescent="0.15">
      <c r="B42" s="112" t="s">
        <v>118</v>
      </c>
      <c r="C42" s="47" t="s">
        <v>63</v>
      </c>
      <c r="D42" s="48" t="s">
        <v>67</v>
      </c>
      <c r="E42" s="50">
        <v>1</v>
      </c>
    </row>
    <row r="43" spans="2:5" ht="15.75" customHeight="1" x14ac:dyDescent="0.15">
      <c r="B43" s="111"/>
      <c r="C43" s="47" t="s">
        <v>64</v>
      </c>
      <c r="D43" s="48" t="s">
        <v>49</v>
      </c>
      <c r="E43" s="50">
        <v>1.5</v>
      </c>
    </row>
    <row r="44" spans="2:5" ht="15.75" customHeight="1" x14ac:dyDescent="0.15">
      <c r="B44" s="111"/>
      <c r="C44" s="47" t="s">
        <v>65</v>
      </c>
      <c r="D44" s="48" t="s">
        <v>68</v>
      </c>
      <c r="E44" s="50">
        <v>2</v>
      </c>
    </row>
    <row r="45" spans="2:5" ht="15.75" customHeight="1" thickBot="1" x14ac:dyDescent="0.2">
      <c r="B45" s="113"/>
      <c r="C45" s="55" t="s">
        <v>66</v>
      </c>
      <c r="D45" s="56" t="s">
        <v>69</v>
      </c>
      <c r="E45" s="57">
        <v>2.5</v>
      </c>
    </row>
    <row r="46" spans="2:5" ht="15.75" customHeight="1" x14ac:dyDescent="0.15">
      <c r="B46" s="10"/>
    </row>
    <row r="47" spans="2:5" ht="15.75" customHeight="1" x14ac:dyDescent="0.15">
      <c r="B47" s="10"/>
    </row>
    <row r="48" spans="2:5" ht="15.75" customHeight="1" x14ac:dyDescent="0.15">
      <c r="B48" s="10"/>
    </row>
    <row r="49" spans="2:2" ht="15.75" customHeight="1" x14ac:dyDescent="0.15">
      <c r="B49" s="10"/>
    </row>
    <row r="50" spans="2:2" ht="15.75" customHeight="1" x14ac:dyDescent="0.15">
      <c r="B50" s="10"/>
    </row>
    <row r="51" spans="2:2" ht="15.75" customHeight="1" x14ac:dyDescent="0.15">
      <c r="B51" s="10"/>
    </row>
    <row r="52" spans="2:2" ht="15.75" customHeight="1" x14ac:dyDescent="0.15">
      <c r="B52" s="10"/>
    </row>
    <row r="53" spans="2:2" ht="15.75" customHeight="1" x14ac:dyDescent="0.15">
      <c r="B53" s="10"/>
    </row>
    <row r="54" spans="2:2" ht="3.75" customHeight="1" x14ac:dyDescent="0.15">
      <c r="B54" s="10"/>
    </row>
    <row r="55" spans="2:2" ht="15.75" customHeight="1" x14ac:dyDescent="0.15">
      <c r="B55" s="10"/>
    </row>
    <row r="56" spans="2:2" ht="15.75" customHeight="1" x14ac:dyDescent="0.15">
      <c r="B56" s="10"/>
    </row>
    <row r="57" spans="2:2" ht="15.75" customHeight="1" x14ac:dyDescent="0.15">
      <c r="B57" s="10"/>
    </row>
    <row r="58" spans="2:2" ht="15.75" customHeight="1" x14ac:dyDescent="0.15">
      <c r="B58" s="10"/>
    </row>
    <row r="59" spans="2:2" ht="3.75" customHeight="1" x14ac:dyDescent="0.15">
      <c r="B59" s="10"/>
    </row>
    <row r="60" spans="2:2" ht="15.75" customHeight="1" x14ac:dyDescent="0.15">
      <c r="B60" s="10"/>
    </row>
    <row r="61" spans="2:2" ht="15.75" customHeight="1" x14ac:dyDescent="0.15">
      <c r="B61" s="10"/>
    </row>
    <row r="62" spans="2:2" ht="15.75" customHeight="1" x14ac:dyDescent="0.15">
      <c r="B62" s="10"/>
    </row>
    <row r="63" spans="2:2" ht="15.75" customHeight="1" x14ac:dyDescent="0.15">
      <c r="B63" s="10"/>
    </row>
    <row r="64" spans="2:2" ht="3.75" customHeight="1" x14ac:dyDescent="0.15">
      <c r="B64" s="10"/>
    </row>
    <row r="65" spans="2:2" ht="15.75" customHeight="1" x14ac:dyDescent="0.15">
      <c r="B65" s="10"/>
    </row>
    <row r="66" spans="2:2" ht="15.75" customHeight="1" x14ac:dyDescent="0.15">
      <c r="B66" s="10"/>
    </row>
    <row r="67" spans="2:2" ht="15.75" customHeight="1" x14ac:dyDescent="0.15">
      <c r="B67" s="10"/>
    </row>
    <row r="68" spans="2:2" ht="15.75" customHeight="1" x14ac:dyDescent="0.15">
      <c r="B68" s="10"/>
    </row>
    <row r="69" spans="2:2" ht="3.75" customHeight="1" x14ac:dyDescent="0.15">
      <c r="B69" s="10"/>
    </row>
    <row r="70" spans="2:2" ht="15.75" customHeight="1" x14ac:dyDescent="0.15">
      <c r="B70" s="10"/>
    </row>
    <row r="71" spans="2:2" ht="15.75" customHeight="1" x14ac:dyDescent="0.15">
      <c r="B71" s="10"/>
    </row>
    <row r="72" spans="2:2" ht="15.75" customHeight="1" x14ac:dyDescent="0.15">
      <c r="B72" s="10"/>
    </row>
    <row r="73" spans="2:2" ht="15.75" customHeight="1" x14ac:dyDescent="0.15">
      <c r="B73" s="10"/>
    </row>
    <row r="74" spans="2:2" ht="15.75" customHeight="1" x14ac:dyDescent="0.15">
      <c r="B74" s="10"/>
    </row>
    <row r="75" spans="2:2" ht="15.75" customHeight="1" x14ac:dyDescent="0.15">
      <c r="B75" s="10"/>
    </row>
    <row r="76" spans="2:2" ht="15.75" customHeight="1" x14ac:dyDescent="0.15">
      <c r="B76" s="10"/>
    </row>
    <row r="77" spans="2:2" ht="15.75" customHeight="1" x14ac:dyDescent="0.15">
      <c r="B77" s="10"/>
    </row>
    <row r="78" spans="2:2" ht="15.75" customHeight="1" x14ac:dyDescent="0.15">
      <c r="B78" s="10"/>
    </row>
    <row r="79" spans="2:2" ht="15.75" customHeight="1" x14ac:dyDescent="0.15">
      <c r="B79" s="10"/>
    </row>
    <row r="82" spans="2:5" ht="15.75" customHeight="1" x14ac:dyDescent="0.15">
      <c r="B82" s="58" t="s">
        <v>52</v>
      </c>
      <c r="C82" s="41"/>
    </row>
    <row r="83" spans="2:5" ht="3.75" customHeight="1" x14ac:dyDescent="0.15">
      <c r="B83" s="59"/>
      <c r="C83" s="41"/>
    </row>
    <row r="84" spans="2:5" ht="30" customHeight="1" x14ac:dyDescent="0.15">
      <c r="B84" s="60" t="s">
        <v>44</v>
      </c>
      <c r="C84" s="123" t="s">
        <v>53</v>
      </c>
      <c r="D84" s="123"/>
      <c r="E84" s="123"/>
    </row>
    <row r="85" spans="2:5" ht="30" customHeight="1" x14ac:dyDescent="0.15">
      <c r="B85" s="61" t="s">
        <v>45</v>
      </c>
      <c r="C85" s="123" t="s">
        <v>119</v>
      </c>
      <c r="D85" s="123"/>
      <c r="E85" s="123"/>
    </row>
    <row r="86" spans="2:5" ht="30" customHeight="1" x14ac:dyDescent="0.15">
      <c r="B86" s="61" t="s">
        <v>46</v>
      </c>
      <c r="C86" s="123" t="s">
        <v>54</v>
      </c>
      <c r="D86" s="123"/>
      <c r="E86" s="123"/>
    </row>
    <row r="87" spans="2:5" ht="30" customHeight="1" x14ac:dyDescent="0.15">
      <c r="B87" s="61" t="s">
        <v>47</v>
      </c>
      <c r="C87" s="123" t="s">
        <v>55</v>
      </c>
      <c r="D87" s="123"/>
      <c r="E87" s="123"/>
    </row>
    <row r="88" spans="2:5" ht="75" customHeight="1" x14ac:dyDescent="0.15">
      <c r="B88" s="61" t="s">
        <v>103</v>
      </c>
      <c r="C88" s="123" t="s">
        <v>116</v>
      </c>
      <c r="D88" s="123"/>
      <c r="E88" s="123"/>
    </row>
    <row r="89" spans="2:5" ht="30" customHeight="1" x14ac:dyDescent="0.15">
      <c r="B89" s="61"/>
      <c r="C89" s="123"/>
      <c r="D89" s="123"/>
      <c r="E89" s="123"/>
    </row>
    <row r="90" spans="2:5" ht="30" customHeight="1" x14ac:dyDescent="0.15">
      <c r="B90" s="61"/>
      <c r="C90" s="123"/>
      <c r="D90" s="123"/>
      <c r="E90" s="123"/>
    </row>
    <row r="93" spans="2:5" ht="15.75" customHeight="1" x14ac:dyDescent="0.15">
      <c r="B93" s="10"/>
      <c r="C93" s="41"/>
    </row>
    <row r="94" spans="2:5" ht="15.75" customHeight="1" x14ac:dyDescent="0.15">
      <c r="B94" s="10"/>
      <c r="C94" s="41"/>
    </row>
    <row r="95" spans="2:5" ht="15.75" customHeight="1" x14ac:dyDescent="0.15">
      <c r="B95" s="10"/>
      <c r="C95" s="41"/>
    </row>
    <row r="96" spans="2:5" ht="15.75" customHeight="1" x14ac:dyDescent="0.15">
      <c r="B96" s="10"/>
      <c r="C96" s="41"/>
    </row>
  </sheetData>
  <mergeCells count="16">
    <mergeCell ref="C88:E88"/>
    <mergeCell ref="C89:E89"/>
    <mergeCell ref="C90:E90"/>
    <mergeCell ref="C84:E84"/>
    <mergeCell ref="C85:E85"/>
    <mergeCell ref="C86:E86"/>
    <mergeCell ref="C87:E87"/>
    <mergeCell ref="B31:B34"/>
    <mergeCell ref="B36:B40"/>
    <mergeCell ref="B42:B45"/>
    <mergeCell ref="B20:B29"/>
    <mergeCell ref="B2:E2"/>
    <mergeCell ref="B12:B18"/>
    <mergeCell ref="B3:E3"/>
    <mergeCell ref="B4:C4"/>
    <mergeCell ref="B6:B10"/>
  </mergeCells>
  <phoneticPr fontId="0" type="noConversion"/>
  <pageMargins left="2.2599999999999998" right="0.7" top="1.34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J228"/>
  <sheetViews>
    <sheetView showGridLines="0" zoomScale="7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G4" sqref="G4"/>
    </sheetView>
  </sheetViews>
  <sheetFormatPr baseColWidth="10" defaultColWidth="11.5" defaultRowHeight="15.75" customHeight="1" x14ac:dyDescent="0.15"/>
  <cols>
    <col min="1" max="1" width="1.6640625" style="10" customWidth="1"/>
    <col min="2" max="2" width="7.6640625" style="10" customWidth="1"/>
    <col min="3" max="3" width="36.83203125" style="10" customWidth="1"/>
    <col min="4" max="4" width="34.33203125" style="10" hidden="1" customWidth="1"/>
    <col min="5" max="7" width="7.33203125" style="10" customWidth="1"/>
    <col min="8" max="8" width="11.33203125" style="10" customWidth="1"/>
    <col min="9" max="9" width="14.33203125" style="1" customWidth="1"/>
    <col min="10" max="10" width="14.5" style="1" customWidth="1"/>
    <col min="11" max="16384" width="11.5" style="10"/>
  </cols>
  <sheetData>
    <row r="1" spans="2:10" ht="8" customHeight="1" thickBot="1" x14ac:dyDescent="0.2"/>
    <row r="2" spans="2:10" ht="32" customHeight="1" thickBot="1" x14ac:dyDescent="0.2">
      <c r="B2" s="97" t="s">
        <v>78</v>
      </c>
      <c r="C2" s="98"/>
      <c r="D2" s="98"/>
      <c r="E2" s="98"/>
      <c r="F2" s="98"/>
      <c r="G2" s="98"/>
      <c r="H2" s="98"/>
      <c r="I2" s="98"/>
      <c r="J2" s="99"/>
    </row>
    <row r="3" spans="2:10" ht="27.75" customHeight="1" thickBot="1" x14ac:dyDescent="0.2">
      <c r="B3" s="124" t="s">
        <v>131</v>
      </c>
      <c r="C3" s="125"/>
      <c r="D3" s="125"/>
      <c r="E3" s="125"/>
      <c r="F3" s="125"/>
      <c r="G3" s="126"/>
      <c r="H3" s="90">
        <f>SUM(H5:H214)</f>
        <v>0</v>
      </c>
      <c r="I3" s="130" t="s">
        <v>133</v>
      </c>
      <c r="J3" s="131"/>
    </row>
    <row r="4" spans="2:10" ht="27.75" customHeight="1" thickBot="1" x14ac:dyDescent="0.2">
      <c r="B4" s="4" t="s">
        <v>7</v>
      </c>
      <c r="C4" s="5" t="s">
        <v>18</v>
      </c>
      <c r="D4" s="6"/>
      <c r="E4" s="7" t="s">
        <v>90</v>
      </c>
      <c r="F4" s="7" t="s">
        <v>88</v>
      </c>
      <c r="G4" s="7" t="s">
        <v>89</v>
      </c>
      <c r="H4" s="5" t="s">
        <v>77</v>
      </c>
      <c r="I4" s="4" t="s">
        <v>132</v>
      </c>
      <c r="J4" s="5" t="s">
        <v>134</v>
      </c>
    </row>
    <row r="5" spans="2:10" ht="15.75" customHeight="1" x14ac:dyDescent="0.15">
      <c r="B5" s="62">
        <f>+'Estimación de Tamaño'!B5</f>
        <v>0</v>
      </c>
      <c r="C5" s="26">
        <f>+'Estimación de Tamaño'!C5</f>
        <v>0</v>
      </c>
      <c r="D5" s="26"/>
      <c r="E5" s="20">
        <f>+'Estimación de Tamaño'!M5</f>
        <v>0</v>
      </c>
      <c r="F5" s="20">
        <v>1</v>
      </c>
      <c r="G5" s="20">
        <v>1</v>
      </c>
      <c r="H5" s="63">
        <f>E5*F5*G5</f>
        <v>0</v>
      </c>
      <c r="I5" s="17"/>
      <c r="J5" s="132"/>
    </row>
    <row r="6" spans="2:10" ht="15.75" customHeight="1" x14ac:dyDescent="0.15">
      <c r="B6" s="62">
        <f>+'Estimación de Tamaño'!B6</f>
        <v>0</v>
      </c>
      <c r="C6" s="26">
        <f>+'Estimación de Tamaño'!C6</f>
        <v>0</v>
      </c>
      <c r="D6" s="26"/>
      <c r="E6" s="20">
        <f>+'Estimación de Tamaño'!M6</f>
        <v>0</v>
      </c>
      <c r="F6" s="20">
        <v>1</v>
      </c>
      <c r="G6" s="20">
        <v>1</v>
      </c>
      <c r="H6" s="63">
        <f t="shared" ref="H6:H69" si="0">E6*F6*G6</f>
        <v>0</v>
      </c>
      <c r="I6" s="17"/>
      <c r="J6" s="133"/>
    </row>
    <row r="7" spans="2:10" ht="15.75" customHeight="1" x14ac:dyDescent="0.15">
      <c r="B7" s="62">
        <f>+'Estimación de Tamaño'!B7</f>
        <v>0</v>
      </c>
      <c r="C7" s="26">
        <f>+'Estimación de Tamaño'!C7</f>
        <v>0</v>
      </c>
      <c r="D7" s="26"/>
      <c r="E7" s="20">
        <f>+'Estimación de Tamaño'!M7</f>
        <v>0</v>
      </c>
      <c r="F7" s="20">
        <v>1</v>
      </c>
      <c r="G7" s="20">
        <v>1</v>
      </c>
      <c r="H7" s="63">
        <f t="shared" si="0"/>
        <v>0</v>
      </c>
      <c r="I7" s="17"/>
      <c r="J7" s="133"/>
    </row>
    <row r="8" spans="2:10" ht="15.75" customHeight="1" x14ac:dyDescent="0.15">
      <c r="B8" s="62">
        <f>+'Estimación de Tamaño'!B8</f>
        <v>0</v>
      </c>
      <c r="C8" s="26">
        <f>+'Estimación de Tamaño'!C8</f>
        <v>0</v>
      </c>
      <c r="D8" s="26"/>
      <c r="E8" s="20">
        <f>+'Estimación de Tamaño'!M8</f>
        <v>0</v>
      </c>
      <c r="F8" s="20">
        <v>1</v>
      </c>
      <c r="G8" s="20">
        <v>1</v>
      </c>
      <c r="H8" s="63">
        <f t="shared" si="0"/>
        <v>0</v>
      </c>
      <c r="I8" s="17"/>
      <c r="J8" s="133"/>
    </row>
    <row r="9" spans="2:10" ht="15.75" customHeight="1" x14ac:dyDescent="0.15">
      <c r="B9" s="62">
        <f>+'Estimación de Tamaño'!B9</f>
        <v>0</v>
      </c>
      <c r="C9" s="26">
        <f>+'Estimación de Tamaño'!C9</f>
        <v>0</v>
      </c>
      <c r="D9" s="26"/>
      <c r="E9" s="20">
        <f>+'Estimación de Tamaño'!M9</f>
        <v>0</v>
      </c>
      <c r="F9" s="20">
        <v>1</v>
      </c>
      <c r="G9" s="20">
        <v>1</v>
      </c>
      <c r="H9" s="63">
        <f t="shared" si="0"/>
        <v>0</v>
      </c>
      <c r="I9" s="17"/>
      <c r="J9" s="133"/>
    </row>
    <row r="10" spans="2:10" ht="15.75" customHeight="1" x14ac:dyDescent="0.15">
      <c r="B10" s="62">
        <f>+'Estimación de Tamaño'!B10</f>
        <v>0</v>
      </c>
      <c r="C10" s="26">
        <f>+'Estimación de Tamaño'!C10</f>
        <v>0</v>
      </c>
      <c r="D10" s="26"/>
      <c r="E10" s="20">
        <f>+'Estimación de Tamaño'!M10</f>
        <v>0</v>
      </c>
      <c r="F10" s="20">
        <v>1</v>
      </c>
      <c r="G10" s="20">
        <v>1</v>
      </c>
      <c r="H10" s="63">
        <f t="shared" si="0"/>
        <v>0</v>
      </c>
      <c r="I10" s="17"/>
      <c r="J10" s="133"/>
    </row>
    <row r="11" spans="2:10" ht="15.75" customHeight="1" x14ac:dyDescent="0.15">
      <c r="B11" s="62">
        <f>+'Estimación de Tamaño'!B11</f>
        <v>0</v>
      </c>
      <c r="C11" s="26">
        <f>+'Estimación de Tamaño'!C11</f>
        <v>0</v>
      </c>
      <c r="D11" s="26"/>
      <c r="E11" s="20">
        <f>+'Estimación de Tamaño'!M11</f>
        <v>0</v>
      </c>
      <c r="F11" s="20">
        <v>1</v>
      </c>
      <c r="G11" s="20">
        <v>1</v>
      </c>
      <c r="H11" s="63">
        <f t="shared" si="0"/>
        <v>0</v>
      </c>
      <c r="I11" s="17"/>
      <c r="J11" s="133"/>
    </row>
    <row r="12" spans="2:10" ht="15.75" customHeight="1" x14ac:dyDescent="0.15">
      <c r="B12" s="62">
        <f>+'Estimación de Tamaño'!B12</f>
        <v>0</v>
      </c>
      <c r="C12" s="26">
        <f>+'Estimación de Tamaño'!C12</f>
        <v>0</v>
      </c>
      <c r="D12" s="26"/>
      <c r="E12" s="20">
        <f>+'Estimación de Tamaño'!M12</f>
        <v>0</v>
      </c>
      <c r="F12" s="20">
        <v>1</v>
      </c>
      <c r="G12" s="20">
        <v>1</v>
      </c>
      <c r="H12" s="63">
        <f t="shared" si="0"/>
        <v>0</v>
      </c>
      <c r="I12" s="17"/>
      <c r="J12" s="133"/>
    </row>
    <row r="13" spans="2:10" ht="15.75" customHeight="1" x14ac:dyDescent="0.15">
      <c r="B13" s="62">
        <f>+'Estimación de Tamaño'!B13</f>
        <v>0</v>
      </c>
      <c r="C13" s="26">
        <f>+'Estimación de Tamaño'!C13</f>
        <v>0</v>
      </c>
      <c r="D13" s="26"/>
      <c r="E13" s="20">
        <f>+'Estimación de Tamaño'!M13</f>
        <v>0</v>
      </c>
      <c r="F13" s="20">
        <v>1</v>
      </c>
      <c r="G13" s="20">
        <v>1</v>
      </c>
      <c r="H13" s="63">
        <f t="shared" si="0"/>
        <v>0</v>
      </c>
      <c r="I13" s="17"/>
      <c r="J13" s="133"/>
    </row>
    <row r="14" spans="2:10" ht="15.75" customHeight="1" x14ac:dyDescent="0.15">
      <c r="B14" s="62">
        <f>+'Estimación de Tamaño'!B14</f>
        <v>0</v>
      </c>
      <c r="C14" s="26">
        <f>+'Estimación de Tamaño'!C14</f>
        <v>0</v>
      </c>
      <c r="D14" s="26"/>
      <c r="E14" s="20">
        <f>+'Estimación de Tamaño'!M14</f>
        <v>0</v>
      </c>
      <c r="F14" s="20">
        <v>1</v>
      </c>
      <c r="G14" s="20">
        <v>1</v>
      </c>
      <c r="H14" s="63">
        <f t="shared" si="0"/>
        <v>0</v>
      </c>
      <c r="I14" s="17"/>
      <c r="J14" s="133"/>
    </row>
    <row r="15" spans="2:10" ht="15.75" customHeight="1" x14ac:dyDescent="0.15">
      <c r="B15" s="62">
        <f>+'Estimación de Tamaño'!B15</f>
        <v>0</v>
      </c>
      <c r="C15" s="26">
        <f>+'Estimación de Tamaño'!C15</f>
        <v>0</v>
      </c>
      <c r="D15" s="26"/>
      <c r="E15" s="20">
        <f>+'Estimación de Tamaño'!M15</f>
        <v>0</v>
      </c>
      <c r="F15" s="20">
        <v>1</v>
      </c>
      <c r="G15" s="20">
        <v>1</v>
      </c>
      <c r="H15" s="63">
        <f t="shared" si="0"/>
        <v>0</v>
      </c>
      <c r="I15" s="17"/>
      <c r="J15" s="133"/>
    </row>
    <row r="16" spans="2:10" ht="15.75" customHeight="1" x14ac:dyDescent="0.15">
      <c r="B16" s="62">
        <f>+'Estimación de Tamaño'!B16</f>
        <v>0</v>
      </c>
      <c r="C16" s="26">
        <f>+'Estimación de Tamaño'!C16</f>
        <v>0</v>
      </c>
      <c r="D16" s="26"/>
      <c r="E16" s="20">
        <f>+'Estimación de Tamaño'!M16</f>
        <v>0</v>
      </c>
      <c r="F16" s="20">
        <v>1</v>
      </c>
      <c r="G16" s="20">
        <v>1</v>
      </c>
      <c r="H16" s="63">
        <f t="shared" si="0"/>
        <v>0</v>
      </c>
      <c r="I16" s="17"/>
      <c r="J16" s="133"/>
    </row>
    <row r="17" spans="2:10" ht="15.75" customHeight="1" x14ac:dyDescent="0.15">
      <c r="B17" s="62">
        <f>+'Estimación de Tamaño'!B17</f>
        <v>0</v>
      </c>
      <c r="C17" s="26">
        <f>+'Estimación de Tamaño'!C17</f>
        <v>0</v>
      </c>
      <c r="D17" s="26"/>
      <c r="E17" s="20">
        <f>+'Estimación de Tamaño'!M17</f>
        <v>0</v>
      </c>
      <c r="F17" s="20">
        <v>1</v>
      </c>
      <c r="G17" s="20">
        <v>1</v>
      </c>
      <c r="H17" s="63">
        <f t="shared" si="0"/>
        <v>0</v>
      </c>
      <c r="I17" s="17"/>
      <c r="J17" s="133"/>
    </row>
    <row r="18" spans="2:10" ht="15.75" customHeight="1" x14ac:dyDescent="0.15">
      <c r="B18" s="62">
        <f>+'Estimación de Tamaño'!B18</f>
        <v>0</v>
      </c>
      <c r="C18" s="26">
        <f>+'Estimación de Tamaño'!C18</f>
        <v>0</v>
      </c>
      <c r="D18" s="26"/>
      <c r="E18" s="20">
        <f>+'Estimación de Tamaño'!M18</f>
        <v>0</v>
      </c>
      <c r="F18" s="20">
        <v>1</v>
      </c>
      <c r="G18" s="20">
        <v>1</v>
      </c>
      <c r="H18" s="63">
        <f t="shared" si="0"/>
        <v>0</v>
      </c>
      <c r="I18" s="17"/>
      <c r="J18" s="133"/>
    </row>
    <row r="19" spans="2:10" ht="15.75" customHeight="1" x14ac:dyDescent="0.15">
      <c r="B19" s="62">
        <f>+'Estimación de Tamaño'!B19</f>
        <v>0</v>
      </c>
      <c r="C19" s="26">
        <f>+'Estimación de Tamaño'!C19</f>
        <v>0</v>
      </c>
      <c r="D19" s="26"/>
      <c r="E19" s="20">
        <f>+'Estimación de Tamaño'!M19</f>
        <v>0</v>
      </c>
      <c r="F19" s="20">
        <v>1</v>
      </c>
      <c r="G19" s="20">
        <v>1</v>
      </c>
      <c r="H19" s="63">
        <f t="shared" si="0"/>
        <v>0</v>
      </c>
      <c r="I19" s="17"/>
      <c r="J19" s="133"/>
    </row>
    <row r="20" spans="2:10" ht="15.75" customHeight="1" x14ac:dyDescent="0.15">
      <c r="B20" s="62">
        <f>+'Estimación de Tamaño'!B20</f>
        <v>0</v>
      </c>
      <c r="C20" s="26">
        <f>+'Estimación de Tamaño'!C20</f>
        <v>0</v>
      </c>
      <c r="D20" s="26"/>
      <c r="E20" s="20">
        <f>+'Estimación de Tamaño'!M20</f>
        <v>0</v>
      </c>
      <c r="F20" s="20">
        <v>1</v>
      </c>
      <c r="G20" s="20">
        <v>1</v>
      </c>
      <c r="H20" s="63">
        <f t="shared" si="0"/>
        <v>0</v>
      </c>
      <c r="I20" s="17"/>
      <c r="J20" s="133"/>
    </row>
    <row r="21" spans="2:10" ht="15.75" customHeight="1" x14ac:dyDescent="0.15">
      <c r="B21" s="62">
        <f>+'Estimación de Tamaño'!B21</f>
        <v>0</v>
      </c>
      <c r="C21" s="26">
        <f>+'Estimación de Tamaño'!C21</f>
        <v>0</v>
      </c>
      <c r="D21" s="26"/>
      <c r="E21" s="20">
        <f>+'Estimación de Tamaño'!M21</f>
        <v>0</v>
      </c>
      <c r="F21" s="20">
        <v>1</v>
      </c>
      <c r="G21" s="20">
        <v>1</v>
      </c>
      <c r="H21" s="63">
        <f t="shared" si="0"/>
        <v>0</v>
      </c>
      <c r="I21" s="17"/>
      <c r="J21" s="133"/>
    </row>
    <row r="22" spans="2:10" ht="15.75" customHeight="1" x14ac:dyDescent="0.15">
      <c r="B22" s="62">
        <f>+'Estimación de Tamaño'!B22</f>
        <v>0</v>
      </c>
      <c r="C22" s="26">
        <f>+'Estimación de Tamaño'!C22</f>
        <v>0</v>
      </c>
      <c r="D22" s="26"/>
      <c r="E22" s="20">
        <f>+'Estimación de Tamaño'!M22</f>
        <v>0</v>
      </c>
      <c r="F22" s="20">
        <v>1</v>
      </c>
      <c r="G22" s="20">
        <v>1</v>
      </c>
      <c r="H22" s="63">
        <f t="shared" si="0"/>
        <v>0</v>
      </c>
      <c r="I22" s="17"/>
      <c r="J22" s="133"/>
    </row>
    <row r="23" spans="2:10" ht="15.75" customHeight="1" x14ac:dyDescent="0.15">
      <c r="B23" s="62">
        <f>+'Estimación de Tamaño'!B23</f>
        <v>0</v>
      </c>
      <c r="C23" s="26">
        <f>+'Estimación de Tamaño'!C23</f>
        <v>0</v>
      </c>
      <c r="D23" s="26"/>
      <c r="E23" s="20">
        <f>+'Estimación de Tamaño'!M23</f>
        <v>0</v>
      </c>
      <c r="F23" s="20">
        <v>1</v>
      </c>
      <c r="G23" s="20">
        <v>1</v>
      </c>
      <c r="H23" s="63">
        <f t="shared" si="0"/>
        <v>0</v>
      </c>
      <c r="I23" s="17"/>
      <c r="J23" s="133"/>
    </row>
    <row r="24" spans="2:10" ht="15.75" customHeight="1" x14ac:dyDescent="0.15">
      <c r="B24" s="62">
        <f>+'Estimación de Tamaño'!B24</f>
        <v>0</v>
      </c>
      <c r="C24" s="26">
        <f>+'Estimación de Tamaño'!C24</f>
        <v>0</v>
      </c>
      <c r="D24" s="26"/>
      <c r="E24" s="20">
        <f>+'Estimación de Tamaño'!M24</f>
        <v>0</v>
      </c>
      <c r="F24" s="20">
        <v>1</v>
      </c>
      <c r="G24" s="20">
        <v>1</v>
      </c>
      <c r="H24" s="63">
        <f t="shared" si="0"/>
        <v>0</v>
      </c>
      <c r="I24" s="17"/>
      <c r="J24" s="133"/>
    </row>
    <row r="25" spans="2:10" ht="15.75" customHeight="1" x14ac:dyDescent="0.15">
      <c r="B25" s="62">
        <f>+'Estimación de Tamaño'!B25</f>
        <v>0</v>
      </c>
      <c r="C25" s="26">
        <f>+'Estimación de Tamaño'!C25</f>
        <v>0</v>
      </c>
      <c r="D25" s="26"/>
      <c r="E25" s="20">
        <f>+'Estimación de Tamaño'!M25</f>
        <v>0</v>
      </c>
      <c r="F25" s="20">
        <v>1</v>
      </c>
      <c r="G25" s="20">
        <v>1</v>
      </c>
      <c r="H25" s="63">
        <f t="shared" si="0"/>
        <v>0</v>
      </c>
      <c r="I25" s="17"/>
      <c r="J25" s="133"/>
    </row>
    <row r="26" spans="2:10" ht="15.75" customHeight="1" x14ac:dyDescent="0.15">
      <c r="B26" s="62">
        <f>+'Estimación de Tamaño'!B26</f>
        <v>0</v>
      </c>
      <c r="C26" s="26">
        <f>+'Estimación de Tamaño'!C26</f>
        <v>0</v>
      </c>
      <c r="D26" s="26"/>
      <c r="E26" s="20">
        <f>+'Estimación de Tamaño'!M26</f>
        <v>0</v>
      </c>
      <c r="F26" s="20">
        <v>1</v>
      </c>
      <c r="G26" s="20">
        <v>1</v>
      </c>
      <c r="H26" s="63">
        <f t="shared" si="0"/>
        <v>0</v>
      </c>
      <c r="I26" s="17"/>
      <c r="J26" s="133"/>
    </row>
    <row r="27" spans="2:10" ht="15.75" customHeight="1" x14ac:dyDescent="0.15">
      <c r="B27" s="62">
        <f>+'Estimación de Tamaño'!B27</f>
        <v>0</v>
      </c>
      <c r="C27" s="26">
        <f>+'Estimación de Tamaño'!C27</f>
        <v>0</v>
      </c>
      <c r="D27" s="26"/>
      <c r="E27" s="20">
        <f>+'Estimación de Tamaño'!M27</f>
        <v>0</v>
      </c>
      <c r="F27" s="20">
        <v>1</v>
      </c>
      <c r="G27" s="20">
        <v>1</v>
      </c>
      <c r="H27" s="63">
        <f t="shared" si="0"/>
        <v>0</v>
      </c>
      <c r="I27" s="17"/>
      <c r="J27" s="133"/>
    </row>
    <row r="28" spans="2:10" ht="15.75" customHeight="1" x14ac:dyDescent="0.15">
      <c r="B28" s="62">
        <f>+'Estimación de Tamaño'!B28</f>
        <v>0</v>
      </c>
      <c r="C28" s="26">
        <f>+'Estimación de Tamaño'!C28</f>
        <v>0</v>
      </c>
      <c r="D28" s="26"/>
      <c r="E28" s="20">
        <f>+'Estimación de Tamaño'!M28</f>
        <v>0</v>
      </c>
      <c r="F28" s="20">
        <v>1</v>
      </c>
      <c r="G28" s="20">
        <v>1</v>
      </c>
      <c r="H28" s="63">
        <f t="shared" si="0"/>
        <v>0</v>
      </c>
      <c r="I28" s="17"/>
      <c r="J28" s="133"/>
    </row>
    <row r="29" spans="2:10" ht="15.75" customHeight="1" x14ac:dyDescent="0.15">
      <c r="B29" s="62">
        <f>+'Estimación de Tamaño'!B29</f>
        <v>0</v>
      </c>
      <c r="C29" s="26">
        <f>+'Estimación de Tamaño'!C29</f>
        <v>0</v>
      </c>
      <c r="D29" s="26"/>
      <c r="E29" s="20">
        <f>+'Estimación de Tamaño'!M29</f>
        <v>0</v>
      </c>
      <c r="F29" s="20">
        <v>1</v>
      </c>
      <c r="G29" s="20">
        <v>1</v>
      </c>
      <c r="H29" s="63">
        <f t="shared" si="0"/>
        <v>0</v>
      </c>
      <c r="I29" s="17"/>
      <c r="J29" s="133"/>
    </row>
    <row r="30" spans="2:10" ht="15.75" customHeight="1" x14ac:dyDescent="0.15">
      <c r="B30" s="62">
        <f>+'Estimación de Tamaño'!B30</f>
        <v>0</v>
      </c>
      <c r="C30" s="26">
        <f>+'Estimación de Tamaño'!C30</f>
        <v>0</v>
      </c>
      <c r="D30" s="26"/>
      <c r="E30" s="20">
        <f>+'Estimación de Tamaño'!M30</f>
        <v>0</v>
      </c>
      <c r="F30" s="20">
        <v>1</v>
      </c>
      <c r="G30" s="20">
        <v>1</v>
      </c>
      <c r="H30" s="63">
        <f t="shared" si="0"/>
        <v>0</v>
      </c>
      <c r="I30" s="17"/>
      <c r="J30" s="133"/>
    </row>
    <row r="31" spans="2:10" ht="15.75" customHeight="1" x14ac:dyDescent="0.15">
      <c r="B31" s="62">
        <f>+'Estimación de Tamaño'!B31</f>
        <v>0</v>
      </c>
      <c r="C31" s="26">
        <f>+'Estimación de Tamaño'!C31</f>
        <v>0</v>
      </c>
      <c r="D31" s="26"/>
      <c r="E31" s="20">
        <f>+'Estimación de Tamaño'!M31</f>
        <v>0</v>
      </c>
      <c r="F31" s="20">
        <v>1</v>
      </c>
      <c r="G31" s="20">
        <v>1</v>
      </c>
      <c r="H31" s="63">
        <f t="shared" si="0"/>
        <v>0</v>
      </c>
      <c r="I31" s="17"/>
      <c r="J31" s="133"/>
    </row>
    <row r="32" spans="2:10" ht="15.75" customHeight="1" x14ac:dyDescent="0.15">
      <c r="B32" s="62">
        <f>+'Estimación de Tamaño'!B32</f>
        <v>0</v>
      </c>
      <c r="C32" s="26">
        <f>+'Estimación de Tamaño'!C32</f>
        <v>0</v>
      </c>
      <c r="D32" s="26"/>
      <c r="E32" s="20">
        <f>+'Estimación de Tamaño'!M32</f>
        <v>0</v>
      </c>
      <c r="F32" s="20">
        <v>1</v>
      </c>
      <c r="G32" s="20">
        <v>1</v>
      </c>
      <c r="H32" s="63">
        <f t="shared" si="0"/>
        <v>0</v>
      </c>
      <c r="I32" s="17"/>
      <c r="J32" s="133"/>
    </row>
    <row r="33" spans="2:10" ht="15.75" customHeight="1" x14ac:dyDescent="0.15">
      <c r="B33" s="62">
        <f>+'Estimación de Tamaño'!B33</f>
        <v>0</v>
      </c>
      <c r="C33" s="26">
        <f>+'Estimación de Tamaño'!C33</f>
        <v>0</v>
      </c>
      <c r="D33" s="26"/>
      <c r="E33" s="20">
        <f>+'Estimación de Tamaño'!M33</f>
        <v>0</v>
      </c>
      <c r="F33" s="20">
        <v>1</v>
      </c>
      <c r="G33" s="20">
        <v>1</v>
      </c>
      <c r="H33" s="63">
        <f t="shared" si="0"/>
        <v>0</v>
      </c>
      <c r="I33" s="17"/>
      <c r="J33" s="133"/>
    </row>
    <row r="34" spans="2:10" ht="15.75" customHeight="1" x14ac:dyDescent="0.15">
      <c r="B34" s="62">
        <f>+'Estimación de Tamaño'!B34</f>
        <v>0</v>
      </c>
      <c r="C34" s="26">
        <f>+'Estimación de Tamaño'!C34</f>
        <v>0</v>
      </c>
      <c r="D34" s="26"/>
      <c r="E34" s="20">
        <f>+'Estimación de Tamaño'!M34</f>
        <v>0</v>
      </c>
      <c r="F34" s="20">
        <v>1</v>
      </c>
      <c r="G34" s="20">
        <v>1</v>
      </c>
      <c r="H34" s="63">
        <f t="shared" si="0"/>
        <v>0</v>
      </c>
      <c r="I34" s="17"/>
      <c r="J34" s="133"/>
    </row>
    <row r="35" spans="2:10" ht="15.75" customHeight="1" x14ac:dyDescent="0.15">
      <c r="B35" s="62">
        <f>+'Estimación de Tamaño'!B35</f>
        <v>0</v>
      </c>
      <c r="C35" s="26">
        <f>+'Estimación de Tamaño'!C35</f>
        <v>0</v>
      </c>
      <c r="D35" s="26"/>
      <c r="E35" s="20">
        <f>+'Estimación de Tamaño'!M35</f>
        <v>0</v>
      </c>
      <c r="F35" s="20">
        <v>1</v>
      </c>
      <c r="G35" s="20">
        <v>1</v>
      </c>
      <c r="H35" s="63">
        <f t="shared" si="0"/>
        <v>0</v>
      </c>
      <c r="I35" s="17"/>
      <c r="J35" s="133"/>
    </row>
    <row r="36" spans="2:10" ht="15.75" customHeight="1" x14ac:dyDescent="0.15">
      <c r="B36" s="62">
        <f>+'Estimación de Tamaño'!B36</f>
        <v>0</v>
      </c>
      <c r="C36" s="26">
        <f>+'Estimación de Tamaño'!C36</f>
        <v>0</v>
      </c>
      <c r="D36" s="26"/>
      <c r="E36" s="20">
        <f>+'Estimación de Tamaño'!M36</f>
        <v>0</v>
      </c>
      <c r="F36" s="20">
        <v>1</v>
      </c>
      <c r="G36" s="20">
        <v>1</v>
      </c>
      <c r="H36" s="63">
        <f t="shared" si="0"/>
        <v>0</v>
      </c>
      <c r="I36" s="17"/>
      <c r="J36" s="133"/>
    </row>
    <row r="37" spans="2:10" ht="15.75" customHeight="1" x14ac:dyDescent="0.15">
      <c r="B37" s="62">
        <f>+'Estimación de Tamaño'!B37</f>
        <v>0</v>
      </c>
      <c r="C37" s="26">
        <f>+'Estimación de Tamaño'!C37</f>
        <v>0</v>
      </c>
      <c r="D37" s="26"/>
      <c r="E37" s="20">
        <f>+'Estimación de Tamaño'!M37</f>
        <v>0</v>
      </c>
      <c r="F37" s="20">
        <v>1</v>
      </c>
      <c r="G37" s="20">
        <v>1</v>
      </c>
      <c r="H37" s="63">
        <f t="shared" si="0"/>
        <v>0</v>
      </c>
      <c r="I37" s="17"/>
      <c r="J37" s="133"/>
    </row>
    <row r="38" spans="2:10" ht="15.75" customHeight="1" x14ac:dyDescent="0.15">
      <c r="B38" s="62">
        <f>+'Estimación de Tamaño'!B38</f>
        <v>0</v>
      </c>
      <c r="C38" s="26">
        <f>+'Estimación de Tamaño'!C38</f>
        <v>0</v>
      </c>
      <c r="D38" s="26"/>
      <c r="E38" s="20">
        <f>+'Estimación de Tamaño'!M38</f>
        <v>0</v>
      </c>
      <c r="F38" s="20">
        <v>1</v>
      </c>
      <c r="G38" s="20">
        <v>1</v>
      </c>
      <c r="H38" s="63">
        <f t="shared" si="0"/>
        <v>0</v>
      </c>
      <c r="I38" s="17"/>
      <c r="J38" s="133"/>
    </row>
    <row r="39" spans="2:10" ht="15.75" customHeight="1" x14ac:dyDescent="0.15">
      <c r="B39" s="62">
        <f>+'Estimación de Tamaño'!B39</f>
        <v>0</v>
      </c>
      <c r="C39" s="26">
        <f>+'Estimación de Tamaño'!C39</f>
        <v>0</v>
      </c>
      <c r="D39" s="26"/>
      <c r="E39" s="20">
        <f>+'Estimación de Tamaño'!M39</f>
        <v>0</v>
      </c>
      <c r="F39" s="20">
        <v>1</v>
      </c>
      <c r="G39" s="20">
        <v>1</v>
      </c>
      <c r="H39" s="63">
        <f t="shared" si="0"/>
        <v>0</v>
      </c>
      <c r="I39" s="17"/>
      <c r="J39" s="133"/>
    </row>
    <row r="40" spans="2:10" ht="15.75" customHeight="1" x14ac:dyDescent="0.15">
      <c r="B40" s="62">
        <f>+'Estimación de Tamaño'!B40</f>
        <v>0</v>
      </c>
      <c r="C40" s="26">
        <f>+'Estimación de Tamaño'!C40</f>
        <v>0</v>
      </c>
      <c r="D40" s="26"/>
      <c r="E40" s="20">
        <f>+'Estimación de Tamaño'!M40</f>
        <v>0</v>
      </c>
      <c r="F40" s="20">
        <v>1</v>
      </c>
      <c r="G40" s="20">
        <v>1</v>
      </c>
      <c r="H40" s="63">
        <f t="shared" si="0"/>
        <v>0</v>
      </c>
      <c r="I40" s="17"/>
      <c r="J40" s="133"/>
    </row>
    <row r="41" spans="2:10" ht="15.75" customHeight="1" x14ac:dyDescent="0.15">
      <c r="B41" s="62">
        <f>+'Estimación de Tamaño'!B41</f>
        <v>0</v>
      </c>
      <c r="C41" s="26">
        <f>+'Estimación de Tamaño'!C41</f>
        <v>0</v>
      </c>
      <c r="D41" s="26"/>
      <c r="E41" s="20">
        <f>+'Estimación de Tamaño'!M41</f>
        <v>0</v>
      </c>
      <c r="F41" s="20">
        <v>1</v>
      </c>
      <c r="G41" s="20">
        <v>1</v>
      </c>
      <c r="H41" s="63">
        <f t="shared" si="0"/>
        <v>0</v>
      </c>
      <c r="I41" s="17"/>
      <c r="J41" s="133"/>
    </row>
    <row r="42" spans="2:10" ht="15.75" customHeight="1" x14ac:dyDescent="0.15">
      <c r="B42" s="62">
        <f>+'Estimación de Tamaño'!B42</f>
        <v>0</v>
      </c>
      <c r="C42" s="26">
        <f>+'Estimación de Tamaño'!C42</f>
        <v>0</v>
      </c>
      <c r="D42" s="26"/>
      <c r="E42" s="20">
        <f>+'Estimación de Tamaño'!M42</f>
        <v>0</v>
      </c>
      <c r="F42" s="20">
        <v>1</v>
      </c>
      <c r="G42" s="20">
        <v>1</v>
      </c>
      <c r="H42" s="63">
        <f t="shared" si="0"/>
        <v>0</v>
      </c>
      <c r="I42" s="17"/>
      <c r="J42" s="133"/>
    </row>
    <row r="43" spans="2:10" ht="15.75" customHeight="1" x14ac:dyDescent="0.15">
      <c r="B43" s="62">
        <f>+'Estimación de Tamaño'!B43</f>
        <v>0</v>
      </c>
      <c r="C43" s="26">
        <f>+'Estimación de Tamaño'!C43</f>
        <v>0</v>
      </c>
      <c r="D43" s="26"/>
      <c r="E43" s="20">
        <f>+'Estimación de Tamaño'!M43</f>
        <v>0</v>
      </c>
      <c r="F43" s="20">
        <v>1</v>
      </c>
      <c r="G43" s="20">
        <v>1</v>
      </c>
      <c r="H43" s="63">
        <f t="shared" si="0"/>
        <v>0</v>
      </c>
      <c r="I43" s="17"/>
      <c r="J43" s="133"/>
    </row>
    <row r="44" spans="2:10" ht="15.75" customHeight="1" x14ac:dyDescent="0.15">
      <c r="B44" s="62">
        <f>+'Estimación de Tamaño'!B44</f>
        <v>0</v>
      </c>
      <c r="C44" s="26">
        <f>+'Estimación de Tamaño'!C44</f>
        <v>0</v>
      </c>
      <c r="D44" s="26"/>
      <c r="E44" s="20">
        <f>+'Estimación de Tamaño'!M44</f>
        <v>0</v>
      </c>
      <c r="F44" s="20">
        <v>1</v>
      </c>
      <c r="G44" s="20">
        <v>1</v>
      </c>
      <c r="H44" s="63">
        <f t="shared" si="0"/>
        <v>0</v>
      </c>
      <c r="I44" s="17"/>
      <c r="J44" s="133"/>
    </row>
    <row r="45" spans="2:10" ht="15.75" customHeight="1" x14ac:dyDescent="0.15">
      <c r="B45" s="62">
        <f>+'Estimación de Tamaño'!B45</f>
        <v>0</v>
      </c>
      <c r="C45" s="26">
        <f>+'Estimación de Tamaño'!C45</f>
        <v>0</v>
      </c>
      <c r="D45" s="26"/>
      <c r="E45" s="20">
        <f>+'Estimación de Tamaño'!M45</f>
        <v>0</v>
      </c>
      <c r="F45" s="20">
        <v>1</v>
      </c>
      <c r="G45" s="20">
        <v>1</v>
      </c>
      <c r="H45" s="63">
        <f t="shared" si="0"/>
        <v>0</v>
      </c>
      <c r="I45" s="17"/>
      <c r="J45" s="133"/>
    </row>
    <row r="46" spans="2:10" ht="15.75" customHeight="1" x14ac:dyDescent="0.15">
      <c r="B46" s="62">
        <f>+'Estimación de Tamaño'!B46</f>
        <v>0</v>
      </c>
      <c r="C46" s="26">
        <f>+'Estimación de Tamaño'!C46</f>
        <v>0</v>
      </c>
      <c r="D46" s="26"/>
      <c r="E46" s="20">
        <f>+'Estimación de Tamaño'!M46</f>
        <v>0</v>
      </c>
      <c r="F46" s="20">
        <v>1</v>
      </c>
      <c r="G46" s="20">
        <v>1</v>
      </c>
      <c r="H46" s="63">
        <f t="shared" si="0"/>
        <v>0</v>
      </c>
      <c r="I46" s="17"/>
      <c r="J46" s="133"/>
    </row>
    <row r="47" spans="2:10" ht="15.75" customHeight="1" x14ac:dyDescent="0.15">
      <c r="B47" s="62">
        <f>+'Estimación de Tamaño'!B47</f>
        <v>0</v>
      </c>
      <c r="C47" s="26">
        <f>+'Estimación de Tamaño'!C47</f>
        <v>0</v>
      </c>
      <c r="D47" s="26"/>
      <c r="E47" s="20">
        <f>+'Estimación de Tamaño'!M47</f>
        <v>0</v>
      </c>
      <c r="F47" s="20">
        <v>1</v>
      </c>
      <c r="G47" s="20">
        <v>1</v>
      </c>
      <c r="H47" s="63">
        <f t="shared" si="0"/>
        <v>0</v>
      </c>
      <c r="I47" s="17"/>
      <c r="J47" s="133"/>
    </row>
    <row r="48" spans="2:10" ht="15.75" customHeight="1" x14ac:dyDescent="0.15">
      <c r="B48" s="62">
        <f>+'Estimación de Tamaño'!B48</f>
        <v>0</v>
      </c>
      <c r="C48" s="26">
        <f>+'Estimación de Tamaño'!C48</f>
        <v>0</v>
      </c>
      <c r="D48" s="26"/>
      <c r="E48" s="20">
        <f>+'Estimación de Tamaño'!M48</f>
        <v>0</v>
      </c>
      <c r="F48" s="20">
        <v>1</v>
      </c>
      <c r="G48" s="20">
        <v>1</v>
      </c>
      <c r="H48" s="63">
        <f t="shared" si="0"/>
        <v>0</v>
      </c>
      <c r="I48" s="17"/>
      <c r="J48" s="133"/>
    </row>
    <row r="49" spans="2:10" ht="15.75" customHeight="1" x14ac:dyDescent="0.15">
      <c r="B49" s="62">
        <f>+'Estimación de Tamaño'!B49</f>
        <v>0</v>
      </c>
      <c r="C49" s="26">
        <f>+'Estimación de Tamaño'!C49</f>
        <v>0</v>
      </c>
      <c r="D49" s="26"/>
      <c r="E49" s="20">
        <f>+'Estimación de Tamaño'!M49</f>
        <v>0</v>
      </c>
      <c r="F49" s="20">
        <v>1</v>
      </c>
      <c r="G49" s="20">
        <v>1</v>
      </c>
      <c r="H49" s="63">
        <f t="shared" si="0"/>
        <v>0</v>
      </c>
      <c r="I49" s="17"/>
      <c r="J49" s="133"/>
    </row>
    <row r="50" spans="2:10" ht="15.75" customHeight="1" x14ac:dyDescent="0.15">
      <c r="B50" s="62">
        <f>+'Estimación de Tamaño'!B50</f>
        <v>0</v>
      </c>
      <c r="C50" s="26">
        <f>+'Estimación de Tamaño'!C50</f>
        <v>0</v>
      </c>
      <c r="D50" s="26"/>
      <c r="E50" s="20">
        <f>+'Estimación de Tamaño'!M50</f>
        <v>0</v>
      </c>
      <c r="F50" s="20">
        <v>1</v>
      </c>
      <c r="G50" s="20">
        <v>1</v>
      </c>
      <c r="H50" s="63">
        <f t="shared" si="0"/>
        <v>0</v>
      </c>
      <c r="I50" s="17"/>
      <c r="J50" s="133"/>
    </row>
    <row r="51" spans="2:10" ht="15.75" customHeight="1" x14ac:dyDescent="0.15">
      <c r="B51" s="62">
        <f>+'Estimación de Tamaño'!B51</f>
        <v>0</v>
      </c>
      <c r="C51" s="26">
        <f>+'Estimación de Tamaño'!C51</f>
        <v>0</v>
      </c>
      <c r="D51" s="26"/>
      <c r="E51" s="20">
        <f>+'Estimación de Tamaño'!M51</f>
        <v>0</v>
      </c>
      <c r="F51" s="20">
        <v>1</v>
      </c>
      <c r="G51" s="20">
        <v>1</v>
      </c>
      <c r="H51" s="63">
        <f t="shared" si="0"/>
        <v>0</v>
      </c>
      <c r="I51" s="17"/>
      <c r="J51" s="133"/>
    </row>
    <row r="52" spans="2:10" ht="15.75" customHeight="1" x14ac:dyDescent="0.15">
      <c r="B52" s="62">
        <f>+'Estimación de Tamaño'!B52</f>
        <v>0</v>
      </c>
      <c r="C52" s="26">
        <f>+'Estimación de Tamaño'!C52</f>
        <v>0</v>
      </c>
      <c r="D52" s="26"/>
      <c r="E52" s="20">
        <f>+'Estimación de Tamaño'!M52</f>
        <v>0</v>
      </c>
      <c r="F52" s="20">
        <v>1</v>
      </c>
      <c r="G52" s="20">
        <v>1</v>
      </c>
      <c r="H52" s="63">
        <f t="shared" si="0"/>
        <v>0</v>
      </c>
      <c r="I52" s="17"/>
      <c r="J52" s="133"/>
    </row>
    <row r="53" spans="2:10" ht="15.75" customHeight="1" x14ac:dyDescent="0.15">
      <c r="B53" s="62">
        <f>+'Estimación de Tamaño'!B53</f>
        <v>0</v>
      </c>
      <c r="C53" s="26">
        <f>+'Estimación de Tamaño'!C53</f>
        <v>0</v>
      </c>
      <c r="D53" s="26"/>
      <c r="E53" s="20">
        <f>+'Estimación de Tamaño'!M53</f>
        <v>0</v>
      </c>
      <c r="F53" s="20">
        <v>1</v>
      </c>
      <c r="G53" s="20">
        <v>1</v>
      </c>
      <c r="H53" s="63">
        <f t="shared" si="0"/>
        <v>0</v>
      </c>
      <c r="I53" s="17"/>
      <c r="J53" s="133"/>
    </row>
    <row r="54" spans="2:10" ht="15.75" customHeight="1" x14ac:dyDescent="0.15">
      <c r="B54" s="62">
        <f>+'Estimación de Tamaño'!B54</f>
        <v>0</v>
      </c>
      <c r="C54" s="26">
        <f>+'Estimación de Tamaño'!C54</f>
        <v>0</v>
      </c>
      <c r="D54" s="26"/>
      <c r="E54" s="20">
        <f>+'Estimación de Tamaño'!M54</f>
        <v>0</v>
      </c>
      <c r="F54" s="20">
        <v>1</v>
      </c>
      <c r="G54" s="20">
        <v>1</v>
      </c>
      <c r="H54" s="63">
        <f t="shared" si="0"/>
        <v>0</v>
      </c>
      <c r="I54" s="17"/>
      <c r="J54" s="133"/>
    </row>
    <row r="55" spans="2:10" ht="15.75" customHeight="1" x14ac:dyDescent="0.15">
      <c r="B55" s="62">
        <f>+'Estimación de Tamaño'!B55</f>
        <v>0</v>
      </c>
      <c r="C55" s="26">
        <f>+'Estimación de Tamaño'!C55</f>
        <v>0</v>
      </c>
      <c r="D55" s="26"/>
      <c r="E55" s="20">
        <f>+'Estimación de Tamaño'!M55</f>
        <v>0</v>
      </c>
      <c r="F55" s="20">
        <v>1</v>
      </c>
      <c r="G55" s="20">
        <v>1</v>
      </c>
      <c r="H55" s="63">
        <f t="shared" si="0"/>
        <v>0</v>
      </c>
      <c r="I55" s="17"/>
      <c r="J55" s="133"/>
    </row>
    <row r="56" spans="2:10" ht="15.75" customHeight="1" x14ac:dyDescent="0.15">
      <c r="B56" s="62">
        <f>+'Estimación de Tamaño'!B56</f>
        <v>0</v>
      </c>
      <c r="C56" s="26">
        <f>+'Estimación de Tamaño'!C56</f>
        <v>0</v>
      </c>
      <c r="D56" s="26"/>
      <c r="E56" s="20">
        <f>+'Estimación de Tamaño'!M56</f>
        <v>0</v>
      </c>
      <c r="F56" s="20">
        <v>1</v>
      </c>
      <c r="G56" s="20">
        <v>1</v>
      </c>
      <c r="H56" s="63">
        <f t="shared" si="0"/>
        <v>0</v>
      </c>
      <c r="I56" s="17"/>
      <c r="J56" s="133"/>
    </row>
    <row r="57" spans="2:10" ht="15.75" customHeight="1" x14ac:dyDescent="0.15">
      <c r="B57" s="62">
        <f>+'Estimación de Tamaño'!B57</f>
        <v>0</v>
      </c>
      <c r="C57" s="26">
        <f>+'Estimación de Tamaño'!C57</f>
        <v>0</v>
      </c>
      <c r="D57" s="26"/>
      <c r="E57" s="20">
        <f>+'Estimación de Tamaño'!M57</f>
        <v>0</v>
      </c>
      <c r="F57" s="20">
        <v>1</v>
      </c>
      <c r="G57" s="20">
        <v>1</v>
      </c>
      <c r="H57" s="63">
        <f t="shared" si="0"/>
        <v>0</v>
      </c>
      <c r="I57" s="17"/>
      <c r="J57" s="133"/>
    </row>
    <row r="58" spans="2:10" ht="15.75" customHeight="1" x14ac:dyDescent="0.15">
      <c r="B58" s="62">
        <f>+'Estimación de Tamaño'!B58</f>
        <v>0</v>
      </c>
      <c r="C58" s="26">
        <f>+'Estimación de Tamaño'!C58</f>
        <v>0</v>
      </c>
      <c r="D58" s="26"/>
      <c r="E58" s="20">
        <f>+'Estimación de Tamaño'!M58</f>
        <v>0</v>
      </c>
      <c r="F58" s="20">
        <v>1</v>
      </c>
      <c r="G58" s="20">
        <v>1</v>
      </c>
      <c r="H58" s="63">
        <f t="shared" si="0"/>
        <v>0</v>
      </c>
      <c r="I58" s="17"/>
      <c r="J58" s="133"/>
    </row>
    <row r="59" spans="2:10" ht="15.75" customHeight="1" x14ac:dyDescent="0.15">
      <c r="B59" s="62">
        <f>+'Estimación de Tamaño'!B59</f>
        <v>0</v>
      </c>
      <c r="C59" s="26">
        <f>+'Estimación de Tamaño'!C59</f>
        <v>0</v>
      </c>
      <c r="D59" s="26"/>
      <c r="E59" s="20">
        <f>+'Estimación de Tamaño'!M59</f>
        <v>0</v>
      </c>
      <c r="F59" s="20">
        <v>1</v>
      </c>
      <c r="G59" s="20">
        <v>1</v>
      </c>
      <c r="H59" s="63">
        <f t="shared" si="0"/>
        <v>0</v>
      </c>
      <c r="I59" s="17"/>
      <c r="J59" s="133"/>
    </row>
    <row r="60" spans="2:10" ht="15.75" customHeight="1" x14ac:dyDescent="0.15">
      <c r="B60" s="62">
        <f>+'Estimación de Tamaño'!B60</f>
        <v>0</v>
      </c>
      <c r="C60" s="26">
        <f>+'Estimación de Tamaño'!C60</f>
        <v>0</v>
      </c>
      <c r="D60" s="26"/>
      <c r="E60" s="20">
        <f>+'Estimación de Tamaño'!M60</f>
        <v>0</v>
      </c>
      <c r="F60" s="20">
        <v>1</v>
      </c>
      <c r="G60" s="20">
        <v>1</v>
      </c>
      <c r="H60" s="63">
        <f t="shared" si="0"/>
        <v>0</v>
      </c>
      <c r="I60" s="17"/>
      <c r="J60" s="133"/>
    </row>
    <row r="61" spans="2:10" ht="15.75" customHeight="1" x14ac:dyDescent="0.15">
      <c r="B61" s="62">
        <f>+'Estimación de Tamaño'!B61</f>
        <v>0</v>
      </c>
      <c r="C61" s="26">
        <f>+'Estimación de Tamaño'!C61</f>
        <v>0</v>
      </c>
      <c r="D61" s="26"/>
      <c r="E61" s="20">
        <f>+'Estimación de Tamaño'!M61</f>
        <v>0</v>
      </c>
      <c r="F61" s="20">
        <v>1</v>
      </c>
      <c r="G61" s="20">
        <v>1</v>
      </c>
      <c r="H61" s="63">
        <f t="shared" si="0"/>
        <v>0</v>
      </c>
      <c r="I61" s="17"/>
      <c r="J61" s="133"/>
    </row>
    <row r="62" spans="2:10" ht="15.75" customHeight="1" x14ac:dyDescent="0.15">
      <c r="B62" s="62">
        <f>+'Estimación de Tamaño'!B62</f>
        <v>0</v>
      </c>
      <c r="C62" s="26">
        <f>+'Estimación de Tamaño'!C62</f>
        <v>0</v>
      </c>
      <c r="D62" s="26"/>
      <c r="E62" s="20">
        <f>+'Estimación de Tamaño'!M62</f>
        <v>0</v>
      </c>
      <c r="F62" s="20">
        <v>1</v>
      </c>
      <c r="G62" s="20">
        <v>1</v>
      </c>
      <c r="H62" s="63">
        <f t="shared" si="0"/>
        <v>0</v>
      </c>
      <c r="I62" s="17"/>
      <c r="J62" s="133"/>
    </row>
    <row r="63" spans="2:10" ht="15.75" customHeight="1" x14ac:dyDescent="0.15">
      <c r="B63" s="62">
        <f>+'Estimación de Tamaño'!B63</f>
        <v>0</v>
      </c>
      <c r="C63" s="26">
        <f>+'Estimación de Tamaño'!C63</f>
        <v>0</v>
      </c>
      <c r="D63" s="26"/>
      <c r="E63" s="20">
        <f>+'Estimación de Tamaño'!M63</f>
        <v>0</v>
      </c>
      <c r="F63" s="20">
        <v>1</v>
      </c>
      <c r="G63" s="20">
        <v>1</v>
      </c>
      <c r="H63" s="63">
        <f t="shared" si="0"/>
        <v>0</v>
      </c>
      <c r="I63" s="17"/>
      <c r="J63" s="133"/>
    </row>
    <row r="64" spans="2:10" ht="15.75" customHeight="1" x14ac:dyDescent="0.15">
      <c r="B64" s="62">
        <f>+'Estimación de Tamaño'!B64</f>
        <v>0</v>
      </c>
      <c r="C64" s="26">
        <f>+'Estimación de Tamaño'!C64</f>
        <v>0</v>
      </c>
      <c r="D64" s="26"/>
      <c r="E64" s="20">
        <f>+'Estimación de Tamaño'!M64</f>
        <v>0</v>
      </c>
      <c r="F64" s="20">
        <v>1</v>
      </c>
      <c r="G64" s="20">
        <v>1</v>
      </c>
      <c r="H64" s="63">
        <f t="shared" si="0"/>
        <v>0</v>
      </c>
      <c r="I64" s="17"/>
      <c r="J64" s="133"/>
    </row>
    <row r="65" spans="2:10" ht="15.75" customHeight="1" x14ac:dyDescent="0.15">
      <c r="B65" s="62">
        <f>+'Estimación de Tamaño'!B65</f>
        <v>0</v>
      </c>
      <c r="C65" s="26">
        <f>+'Estimación de Tamaño'!C65</f>
        <v>0</v>
      </c>
      <c r="D65" s="26"/>
      <c r="E65" s="20">
        <f>+'Estimación de Tamaño'!M65</f>
        <v>0</v>
      </c>
      <c r="F65" s="20">
        <v>1</v>
      </c>
      <c r="G65" s="20">
        <v>1</v>
      </c>
      <c r="H65" s="63">
        <f t="shared" si="0"/>
        <v>0</v>
      </c>
      <c r="I65" s="17"/>
      <c r="J65" s="133"/>
    </row>
    <row r="66" spans="2:10" ht="15.75" customHeight="1" x14ac:dyDescent="0.15">
      <c r="B66" s="62">
        <f>+'Estimación de Tamaño'!B66</f>
        <v>0</v>
      </c>
      <c r="C66" s="26">
        <f>+'Estimación de Tamaño'!C66</f>
        <v>0</v>
      </c>
      <c r="D66" s="26"/>
      <c r="E66" s="20">
        <f>+'Estimación de Tamaño'!M66</f>
        <v>0</v>
      </c>
      <c r="F66" s="20">
        <v>1</v>
      </c>
      <c r="G66" s="20">
        <v>1</v>
      </c>
      <c r="H66" s="63">
        <f t="shared" si="0"/>
        <v>0</v>
      </c>
      <c r="I66" s="17"/>
      <c r="J66" s="133"/>
    </row>
    <row r="67" spans="2:10" ht="15.75" customHeight="1" x14ac:dyDescent="0.15">
      <c r="B67" s="62">
        <f>+'Estimación de Tamaño'!B67</f>
        <v>0</v>
      </c>
      <c r="C67" s="26">
        <f>+'Estimación de Tamaño'!C67</f>
        <v>0</v>
      </c>
      <c r="D67" s="26"/>
      <c r="E67" s="20">
        <f>+'Estimación de Tamaño'!M67</f>
        <v>0</v>
      </c>
      <c r="F67" s="20">
        <v>1</v>
      </c>
      <c r="G67" s="20">
        <v>1</v>
      </c>
      <c r="H67" s="63">
        <f t="shared" si="0"/>
        <v>0</v>
      </c>
      <c r="I67" s="17"/>
      <c r="J67" s="133"/>
    </row>
    <row r="68" spans="2:10" ht="15.75" customHeight="1" x14ac:dyDescent="0.15">
      <c r="B68" s="62">
        <f>+'Estimación de Tamaño'!B68</f>
        <v>0</v>
      </c>
      <c r="C68" s="26">
        <f>+'Estimación de Tamaño'!C68</f>
        <v>0</v>
      </c>
      <c r="D68" s="26"/>
      <c r="E68" s="20">
        <f>+'Estimación de Tamaño'!M68</f>
        <v>0</v>
      </c>
      <c r="F68" s="20">
        <v>1</v>
      </c>
      <c r="G68" s="20">
        <v>1</v>
      </c>
      <c r="H68" s="63">
        <f t="shared" si="0"/>
        <v>0</v>
      </c>
      <c r="I68" s="17"/>
      <c r="J68" s="133"/>
    </row>
    <row r="69" spans="2:10" ht="15.75" customHeight="1" x14ac:dyDescent="0.15">
      <c r="B69" s="62">
        <f>+'Estimación de Tamaño'!B69</f>
        <v>0</v>
      </c>
      <c r="C69" s="26">
        <f>+'Estimación de Tamaño'!C69</f>
        <v>0</v>
      </c>
      <c r="D69" s="26"/>
      <c r="E69" s="20">
        <f>+'Estimación de Tamaño'!M69</f>
        <v>0</v>
      </c>
      <c r="F69" s="20">
        <v>1</v>
      </c>
      <c r="G69" s="20">
        <v>1</v>
      </c>
      <c r="H69" s="63">
        <f t="shared" si="0"/>
        <v>0</v>
      </c>
      <c r="I69" s="17"/>
      <c r="J69" s="133"/>
    </row>
    <row r="70" spans="2:10" ht="15.75" customHeight="1" x14ac:dyDescent="0.15">
      <c r="B70" s="62">
        <f>+'Estimación de Tamaño'!B70</f>
        <v>0</v>
      </c>
      <c r="C70" s="26">
        <f>+'Estimación de Tamaño'!C70</f>
        <v>0</v>
      </c>
      <c r="D70" s="26"/>
      <c r="E70" s="20">
        <f>+'Estimación de Tamaño'!M70</f>
        <v>0</v>
      </c>
      <c r="F70" s="20">
        <v>1</v>
      </c>
      <c r="G70" s="20">
        <v>1</v>
      </c>
      <c r="H70" s="63">
        <f t="shared" ref="H70:H133" si="1">E70*F70*G70</f>
        <v>0</v>
      </c>
      <c r="I70" s="17"/>
      <c r="J70" s="133"/>
    </row>
    <row r="71" spans="2:10" ht="15.75" customHeight="1" x14ac:dyDescent="0.15">
      <c r="B71" s="62">
        <f>+'Estimación de Tamaño'!B71</f>
        <v>0</v>
      </c>
      <c r="C71" s="26">
        <f>+'Estimación de Tamaño'!C71</f>
        <v>0</v>
      </c>
      <c r="D71" s="26"/>
      <c r="E71" s="20">
        <f>+'Estimación de Tamaño'!M71</f>
        <v>0</v>
      </c>
      <c r="F71" s="20">
        <v>1</v>
      </c>
      <c r="G71" s="20">
        <v>1</v>
      </c>
      <c r="H71" s="63">
        <f t="shared" si="1"/>
        <v>0</v>
      </c>
      <c r="I71" s="17"/>
      <c r="J71" s="133"/>
    </row>
    <row r="72" spans="2:10" ht="15.75" customHeight="1" x14ac:dyDescent="0.15">
      <c r="B72" s="62">
        <f>+'Estimación de Tamaño'!B72</f>
        <v>0</v>
      </c>
      <c r="C72" s="26">
        <f>+'Estimación de Tamaño'!C72</f>
        <v>0</v>
      </c>
      <c r="D72" s="26"/>
      <c r="E72" s="20">
        <f>+'Estimación de Tamaño'!M72</f>
        <v>0</v>
      </c>
      <c r="F72" s="20">
        <v>1</v>
      </c>
      <c r="G72" s="20">
        <v>1</v>
      </c>
      <c r="H72" s="63">
        <f t="shared" si="1"/>
        <v>0</v>
      </c>
      <c r="I72" s="17"/>
      <c r="J72" s="133"/>
    </row>
    <row r="73" spans="2:10" ht="15.75" customHeight="1" x14ac:dyDescent="0.15">
      <c r="B73" s="62">
        <f>+'Estimación de Tamaño'!B73</f>
        <v>0</v>
      </c>
      <c r="C73" s="26">
        <f>+'Estimación de Tamaño'!C73</f>
        <v>0</v>
      </c>
      <c r="D73" s="26"/>
      <c r="E73" s="20">
        <f>+'Estimación de Tamaño'!M73</f>
        <v>0</v>
      </c>
      <c r="F73" s="20">
        <v>1</v>
      </c>
      <c r="G73" s="20">
        <v>1</v>
      </c>
      <c r="H73" s="63">
        <f t="shared" si="1"/>
        <v>0</v>
      </c>
      <c r="I73" s="17"/>
      <c r="J73" s="133"/>
    </row>
    <row r="74" spans="2:10" ht="15.75" customHeight="1" x14ac:dyDescent="0.15">
      <c r="B74" s="62">
        <f>+'Estimación de Tamaño'!B74</f>
        <v>0</v>
      </c>
      <c r="C74" s="26">
        <f>+'Estimación de Tamaño'!C74</f>
        <v>0</v>
      </c>
      <c r="D74" s="26"/>
      <c r="E74" s="20">
        <f>+'Estimación de Tamaño'!M74</f>
        <v>0</v>
      </c>
      <c r="F74" s="20">
        <v>1</v>
      </c>
      <c r="G74" s="20">
        <v>1</v>
      </c>
      <c r="H74" s="63">
        <f t="shared" si="1"/>
        <v>0</v>
      </c>
      <c r="I74" s="17"/>
      <c r="J74" s="133"/>
    </row>
    <row r="75" spans="2:10" ht="15.75" customHeight="1" x14ac:dyDescent="0.15">
      <c r="B75" s="62">
        <f>+'Estimación de Tamaño'!B75</f>
        <v>0</v>
      </c>
      <c r="C75" s="26">
        <f>+'Estimación de Tamaño'!C75</f>
        <v>0</v>
      </c>
      <c r="D75" s="26"/>
      <c r="E75" s="20">
        <f>+'Estimación de Tamaño'!M75</f>
        <v>0</v>
      </c>
      <c r="F75" s="20">
        <v>1</v>
      </c>
      <c r="G75" s="20">
        <v>1</v>
      </c>
      <c r="H75" s="63">
        <f t="shared" si="1"/>
        <v>0</v>
      </c>
      <c r="I75" s="17"/>
      <c r="J75" s="133"/>
    </row>
    <row r="76" spans="2:10" ht="15.75" customHeight="1" x14ac:dyDescent="0.15">
      <c r="B76" s="62">
        <f>+'Estimación de Tamaño'!B76</f>
        <v>0</v>
      </c>
      <c r="C76" s="26">
        <f>+'Estimación de Tamaño'!C76</f>
        <v>0</v>
      </c>
      <c r="D76" s="26"/>
      <c r="E76" s="20">
        <f>+'Estimación de Tamaño'!M76</f>
        <v>0</v>
      </c>
      <c r="F76" s="20">
        <v>1</v>
      </c>
      <c r="G76" s="20">
        <v>1</v>
      </c>
      <c r="H76" s="63">
        <f t="shared" si="1"/>
        <v>0</v>
      </c>
      <c r="I76" s="17"/>
      <c r="J76" s="133"/>
    </row>
    <row r="77" spans="2:10" ht="15.75" customHeight="1" x14ac:dyDescent="0.15">
      <c r="B77" s="62">
        <f>+'Estimación de Tamaño'!B77</f>
        <v>0</v>
      </c>
      <c r="C77" s="26">
        <f>+'Estimación de Tamaño'!C77</f>
        <v>0</v>
      </c>
      <c r="D77" s="26"/>
      <c r="E77" s="20">
        <f>+'Estimación de Tamaño'!M77</f>
        <v>0</v>
      </c>
      <c r="F77" s="20">
        <v>1</v>
      </c>
      <c r="G77" s="20">
        <v>1</v>
      </c>
      <c r="H77" s="63">
        <f t="shared" si="1"/>
        <v>0</v>
      </c>
      <c r="I77" s="17"/>
      <c r="J77" s="133"/>
    </row>
    <row r="78" spans="2:10" ht="15.75" customHeight="1" x14ac:dyDescent="0.15">
      <c r="B78" s="62">
        <f>+'Estimación de Tamaño'!B78</f>
        <v>0</v>
      </c>
      <c r="C78" s="26">
        <f>+'Estimación de Tamaño'!C78</f>
        <v>0</v>
      </c>
      <c r="D78" s="26"/>
      <c r="E78" s="20">
        <f>+'Estimación de Tamaño'!M78</f>
        <v>0</v>
      </c>
      <c r="F78" s="20">
        <v>1</v>
      </c>
      <c r="G78" s="20">
        <v>1</v>
      </c>
      <c r="H78" s="63">
        <f t="shared" si="1"/>
        <v>0</v>
      </c>
      <c r="I78" s="17"/>
      <c r="J78" s="133"/>
    </row>
    <row r="79" spans="2:10" ht="15.75" customHeight="1" x14ac:dyDescent="0.15">
      <c r="B79" s="62">
        <f>+'Estimación de Tamaño'!B79</f>
        <v>0</v>
      </c>
      <c r="C79" s="26">
        <f>+'Estimación de Tamaño'!C79</f>
        <v>0</v>
      </c>
      <c r="D79" s="26"/>
      <c r="E79" s="20">
        <f>+'Estimación de Tamaño'!M79</f>
        <v>0</v>
      </c>
      <c r="F79" s="20">
        <v>1</v>
      </c>
      <c r="G79" s="20">
        <v>1</v>
      </c>
      <c r="H79" s="63">
        <f t="shared" si="1"/>
        <v>0</v>
      </c>
      <c r="I79" s="17"/>
      <c r="J79" s="133"/>
    </row>
    <row r="80" spans="2:10" ht="15.75" customHeight="1" x14ac:dyDescent="0.15">
      <c r="B80" s="62">
        <f>+'Estimación de Tamaño'!B80</f>
        <v>0</v>
      </c>
      <c r="C80" s="26">
        <f>+'Estimación de Tamaño'!C80</f>
        <v>0</v>
      </c>
      <c r="D80" s="26"/>
      <c r="E80" s="20">
        <f>+'Estimación de Tamaño'!M80</f>
        <v>0</v>
      </c>
      <c r="F80" s="20">
        <v>1</v>
      </c>
      <c r="G80" s="20">
        <v>1</v>
      </c>
      <c r="H80" s="63">
        <f t="shared" si="1"/>
        <v>0</v>
      </c>
      <c r="I80" s="17"/>
      <c r="J80" s="133"/>
    </row>
    <row r="81" spans="2:10" ht="15.75" customHeight="1" x14ac:dyDescent="0.15">
      <c r="B81" s="62">
        <f>+'Estimación de Tamaño'!B81</f>
        <v>0</v>
      </c>
      <c r="C81" s="26">
        <f>+'Estimación de Tamaño'!C81</f>
        <v>0</v>
      </c>
      <c r="D81" s="26"/>
      <c r="E81" s="20">
        <f>+'Estimación de Tamaño'!M81</f>
        <v>0</v>
      </c>
      <c r="F81" s="20">
        <v>1</v>
      </c>
      <c r="G81" s="20">
        <v>1</v>
      </c>
      <c r="H81" s="63">
        <f t="shared" si="1"/>
        <v>0</v>
      </c>
      <c r="I81" s="17"/>
      <c r="J81" s="133"/>
    </row>
    <row r="82" spans="2:10" ht="15.75" customHeight="1" x14ac:dyDescent="0.15">
      <c r="B82" s="62">
        <f>+'Estimación de Tamaño'!B82</f>
        <v>0</v>
      </c>
      <c r="C82" s="26">
        <f>+'Estimación de Tamaño'!C82</f>
        <v>0</v>
      </c>
      <c r="D82" s="26"/>
      <c r="E82" s="20">
        <f>+'Estimación de Tamaño'!M82</f>
        <v>0</v>
      </c>
      <c r="F82" s="20">
        <v>1</v>
      </c>
      <c r="G82" s="20">
        <v>1</v>
      </c>
      <c r="H82" s="63">
        <f t="shared" si="1"/>
        <v>0</v>
      </c>
      <c r="I82" s="17"/>
      <c r="J82" s="133"/>
    </row>
    <row r="83" spans="2:10" ht="15.75" customHeight="1" x14ac:dyDescent="0.15">
      <c r="B83" s="62">
        <f>+'Estimación de Tamaño'!B83</f>
        <v>0</v>
      </c>
      <c r="C83" s="26">
        <f>+'Estimación de Tamaño'!C83</f>
        <v>0</v>
      </c>
      <c r="D83" s="26"/>
      <c r="E83" s="20">
        <f>+'Estimación de Tamaño'!M83</f>
        <v>0</v>
      </c>
      <c r="F83" s="20">
        <v>1</v>
      </c>
      <c r="G83" s="20">
        <v>1</v>
      </c>
      <c r="H83" s="63">
        <f t="shared" si="1"/>
        <v>0</v>
      </c>
      <c r="I83" s="17"/>
      <c r="J83" s="133"/>
    </row>
    <row r="84" spans="2:10" ht="15.75" customHeight="1" x14ac:dyDescent="0.15">
      <c r="B84" s="62">
        <f>+'Estimación de Tamaño'!B84</f>
        <v>0</v>
      </c>
      <c r="C84" s="26">
        <f>+'Estimación de Tamaño'!C84</f>
        <v>0</v>
      </c>
      <c r="D84" s="26"/>
      <c r="E84" s="20">
        <f>+'Estimación de Tamaño'!M84</f>
        <v>0</v>
      </c>
      <c r="F84" s="20">
        <v>1</v>
      </c>
      <c r="G84" s="20">
        <v>1</v>
      </c>
      <c r="H84" s="63">
        <f t="shared" si="1"/>
        <v>0</v>
      </c>
      <c r="I84" s="17"/>
      <c r="J84" s="133"/>
    </row>
    <row r="85" spans="2:10" ht="15.75" customHeight="1" x14ac:dyDescent="0.15">
      <c r="B85" s="62">
        <f>+'Estimación de Tamaño'!B85</f>
        <v>0</v>
      </c>
      <c r="C85" s="26">
        <f>+'Estimación de Tamaño'!C85</f>
        <v>0</v>
      </c>
      <c r="D85" s="26"/>
      <c r="E85" s="20">
        <f>+'Estimación de Tamaño'!M85</f>
        <v>0</v>
      </c>
      <c r="F85" s="20">
        <v>1</v>
      </c>
      <c r="G85" s="20">
        <v>1</v>
      </c>
      <c r="H85" s="63">
        <f t="shared" si="1"/>
        <v>0</v>
      </c>
      <c r="I85" s="17"/>
      <c r="J85" s="133"/>
    </row>
    <row r="86" spans="2:10" ht="15.75" customHeight="1" x14ac:dyDescent="0.15">
      <c r="B86" s="62">
        <f>+'Estimación de Tamaño'!B86</f>
        <v>0</v>
      </c>
      <c r="C86" s="26">
        <f>+'Estimación de Tamaño'!C86</f>
        <v>0</v>
      </c>
      <c r="D86" s="26"/>
      <c r="E86" s="20">
        <f>+'Estimación de Tamaño'!M86</f>
        <v>0</v>
      </c>
      <c r="F86" s="20">
        <v>1</v>
      </c>
      <c r="G86" s="20">
        <v>1</v>
      </c>
      <c r="H86" s="63">
        <f t="shared" si="1"/>
        <v>0</v>
      </c>
      <c r="I86" s="17"/>
      <c r="J86" s="133"/>
    </row>
    <row r="87" spans="2:10" ht="15.75" customHeight="1" x14ac:dyDescent="0.15">
      <c r="B87" s="62">
        <f>+'Estimación de Tamaño'!B87</f>
        <v>0</v>
      </c>
      <c r="C87" s="26">
        <f>+'Estimación de Tamaño'!C87</f>
        <v>0</v>
      </c>
      <c r="D87" s="26"/>
      <c r="E87" s="20">
        <f>+'Estimación de Tamaño'!M87</f>
        <v>0</v>
      </c>
      <c r="F87" s="20">
        <v>1</v>
      </c>
      <c r="G87" s="20">
        <v>1</v>
      </c>
      <c r="H87" s="63">
        <f t="shared" si="1"/>
        <v>0</v>
      </c>
      <c r="I87" s="17"/>
      <c r="J87" s="133"/>
    </row>
    <row r="88" spans="2:10" ht="15.75" customHeight="1" x14ac:dyDescent="0.15">
      <c r="B88" s="62">
        <f>+'Estimación de Tamaño'!B88</f>
        <v>0</v>
      </c>
      <c r="C88" s="26">
        <f>+'Estimación de Tamaño'!C88</f>
        <v>0</v>
      </c>
      <c r="D88" s="26"/>
      <c r="E88" s="20">
        <f>+'Estimación de Tamaño'!M88</f>
        <v>0</v>
      </c>
      <c r="F88" s="20">
        <v>1</v>
      </c>
      <c r="G88" s="20">
        <v>1</v>
      </c>
      <c r="H88" s="63">
        <f t="shared" si="1"/>
        <v>0</v>
      </c>
      <c r="I88" s="17"/>
      <c r="J88" s="133"/>
    </row>
    <row r="89" spans="2:10" ht="15.75" customHeight="1" x14ac:dyDescent="0.15">
      <c r="B89" s="62">
        <f>+'Estimación de Tamaño'!B89</f>
        <v>0</v>
      </c>
      <c r="C89" s="26">
        <f>+'Estimación de Tamaño'!C89</f>
        <v>0</v>
      </c>
      <c r="D89" s="26"/>
      <c r="E89" s="20">
        <f>+'Estimación de Tamaño'!M89</f>
        <v>0</v>
      </c>
      <c r="F89" s="20">
        <v>1</v>
      </c>
      <c r="G89" s="20">
        <v>1</v>
      </c>
      <c r="H89" s="63">
        <f t="shared" si="1"/>
        <v>0</v>
      </c>
      <c r="I89" s="17"/>
      <c r="J89" s="133"/>
    </row>
    <row r="90" spans="2:10" ht="15.75" customHeight="1" x14ac:dyDescent="0.15">
      <c r="B90" s="62">
        <f>+'Estimación de Tamaño'!B90</f>
        <v>0</v>
      </c>
      <c r="C90" s="26">
        <f>+'Estimación de Tamaño'!C90</f>
        <v>0</v>
      </c>
      <c r="D90" s="26"/>
      <c r="E90" s="20">
        <f>+'Estimación de Tamaño'!M90</f>
        <v>0</v>
      </c>
      <c r="F90" s="20">
        <v>1</v>
      </c>
      <c r="G90" s="20">
        <v>1</v>
      </c>
      <c r="H90" s="63">
        <f t="shared" si="1"/>
        <v>0</v>
      </c>
      <c r="I90" s="17"/>
      <c r="J90" s="133"/>
    </row>
    <row r="91" spans="2:10" ht="15.75" customHeight="1" x14ac:dyDescent="0.15">
      <c r="B91" s="62">
        <f>+'Estimación de Tamaño'!B91</f>
        <v>0</v>
      </c>
      <c r="C91" s="26">
        <f>+'Estimación de Tamaño'!C91</f>
        <v>0</v>
      </c>
      <c r="D91" s="26"/>
      <c r="E91" s="20">
        <f>+'Estimación de Tamaño'!M91</f>
        <v>0</v>
      </c>
      <c r="F91" s="20">
        <v>1</v>
      </c>
      <c r="G91" s="20">
        <v>1</v>
      </c>
      <c r="H91" s="63">
        <f t="shared" si="1"/>
        <v>0</v>
      </c>
      <c r="I91" s="17"/>
      <c r="J91" s="133"/>
    </row>
    <row r="92" spans="2:10" ht="15.75" customHeight="1" x14ac:dyDescent="0.15">
      <c r="B92" s="62">
        <f>+'Estimación de Tamaño'!B92</f>
        <v>0</v>
      </c>
      <c r="C92" s="26">
        <f>+'Estimación de Tamaño'!C92</f>
        <v>0</v>
      </c>
      <c r="D92" s="26"/>
      <c r="E92" s="20">
        <f>+'Estimación de Tamaño'!M92</f>
        <v>0</v>
      </c>
      <c r="F92" s="20">
        <v>1</v>
      </c>
      <c r="G92" s="20">
        <v>1</v>
      </c>
      <c r="H92" s="63">
        <f t="shared" si="1"/>
        <v>0</v>
      </c>
      <c r="I92" s="17"/>
      <c r="J92" s="133"/>
    </row>
    <row r="93" spans="2:10" ht="15.75" customHeight="1" x14ac:dyDescent="0.15">
      <c r="B93" s="62">
        <f>+'Estimación de Tamaño'!B93</f>
        <v>0</v>
      </c>
      <c r="C93" s="26">
        <f>+'Estimación de Tamaño'!C93</f>
        <v>0</v>
      </c>
      <c r="D93" s="26"/>
      <c r="E93" s="20">
        <f>+'Estimación de Tamaño'!M93</f>
        <v>0</v>
      </c>
      <c r="F93" s="20">
        <v>1</v>
      </c>
      <c r="G93" s="20">
        <v>1</v>
      </c>
      <c r="H93" s="63">
        <f t="shared" si="1"/>
        <v>0</v>
      </c>
      <c r="I93" s="17"/>
      <c r="J93" s="133"/>
    </row>
    <row r="94" spans="2:10" ht="15.75" customHeight="1" x14ac:dyDescent="0.15">
      <c r="B94" s="62">
        <f>+'Estimación de Tamaño'!B94</f>
        <v>0</v>
      </c>
      <c r="C94" s="26">
        <f>+'Estimación de Tamaño'!C94</f>
        <v>0</v>
      </c>
      <c r="D94" s="26"/>
      <c r="E94" s="20">
        <f>+'Estimación de Tamaño'!M94</f>
        <v>0</v>
      </c>
      <c r="F94" s="20">
        <v>1</v>
      </c>
      <c r="G94" s="20">
        <v>1</v>
      </c>
      <c r="H94" s="63">
        <f t="shared" si="1"/>
        <v>0</v>
      </c>
      <c r="I94" s="17"/>
      <c r="J94" s="133"/>
    </row>
    <row r="95" spans="2:10" ht="15.75" customHeight="1" x14ac:dyDescent="0.15">
      <c r="B95" s="62">
        <f>+'Estimación de Tamaño'!B95</f>
        <v>0</v>
      </c>
      <c r="C95" s="26">
        <f>+'Estimación de Tamaño'!C95</f>
        <v>0</v>
      </c>
      <c r="D95" s="26"/>
      <c r="E95" s="20">
        <f>+'Estimación de Tamaño'!M95</f>
        <v>0</v>
      </c>
      <c r="F95" s="20">
        <v>1</v>
      </c>
      <c r="G95" s="20">
        <v>1</v>
      </c>
      <c r="H95" s="63">
        <f t="shared" si="1"/>
        <v>0</v>
      </c>
      <c r="I95" s="17"/>
      <c r="J95" s="133"/>
    </row>
    <row r="96" spans="2:10" ht="15.75" customHeight="1" x14ac:dyDescent="0.15">
      <c r="B96" s="62">
        <f>+'Estimación de Tamaño'!B96</f>
        <v>0</v>
      </c>
      <c r="C96" s="26">
        <f>+'Estimación de Tamaño'!C96</f>
        <v>0</v>
      </c>
      <c r="D96" s="26"/>
      <c r="E96" s="20">
        <f>+'Estimación de Tamaño'!M96</f>
        <v>0</v>
      </c>
      <c r="F96" s="20">
        <v>1</v>
      </c>
      <c r="G96" s="20">
        <v>1</v>
      </c>
      <c r="H96" s="63">
        <f t="shared" si="1"/>
        <v>0</v>
      </c>
      <c r="I96" s="17"/>
      <c r="J96" s="133"/>
    </row>
    <row r="97" spans="2:10" ht="15.75" customHeight="1" x14ac:dyDescent="0.15">
      <c r="B97" s="62">
        <f>+'Estimación de Tamaño'!B97</f>
        <v>0</v>
      </c>
      <c r="C97" s="26">
        <f>+'Estimación de Tamaño'!C97</f>
        <v>0</v>
      </c>
      <c r="D97" s="26"/>
      <c r="E97" s="20">
        <f>+'Estimación de Tamaño'!M97</f>
        <v>0</v>
      </c>
      <c r="F97" s="20">
        <v>1</v>
      </c>
      <c r="G97" s="20">
        <v>1</v>
      </c>
      <c r="H97" s="63">
        <f t="shared" si="1"/>
        <v>0</v>
      </c>
      <c r="I97" s="17"/>
      <c r="J97" s="133"/>
    </row>
    <row r="98" spans="2:10" ht="15.75" customHeight="1" x14ac:dyDescent="0.15">
      <c r="B98" s="62">
        <f>+'Estimación de Tamaño'!B98</f>
        <v>0</v>
      </c>
      <c r="C98" s="26">
        <f>+'Estimación de Tamaño'!C98</f>
        <v>0</v>
      </c>
      <c r="D98" s="26"/>
      <c r="E98" s="20">
        <f>+'Estimación de Tamaño'!M98</f>
        <v>0</v>
      </c>
      <c r="F98" s="20">
        <v>1</v>
      </c>
      <c r="G98" s="20">
        <v>1</v>
      </c>
      <c r="H98" s="63">
        <f t="shared" si="1"/>
        <v>0</v>
      </c>
      <c r="I98" s="17"/>
      <c r="J98" s="133"/>
    </row>
    <row r="99" spans="2:10" ht="15.75" customHeight="1" x14ac:dyDescent="0.15">
      <c r="B99" s="62">
        <f>+'Estimación de Tamaño'!B99</f>
        <v>0</v>
      </c>
      <c r="C99" s="26">
        <f>+'Estimación de Tamaño'!C99</f>
        <v>0</v>
      </c>
      <c r="D99" s="26"/>
      <c r="E99" s="20">
        <f>+'Estimación de Tamaño'!M99</f>
        <v>0</v>
      </c>
      <c r="F99" s="20">
        <v>1</v>
      </c>
      <c r="G99" s="20">
        <v>1</v>
      </c>
      <c r="H99" s="63">
        <f t="shared" si="1"/>
        <v>0</v>
      </c>
      <c r="I99" s="17"/>
      <c r="J99" s="133"/>
    </row>
    <row r="100" spans="2:10" ht="15.75" customHeight="1" x14ac:dyDescent="0.15">
      <c r="B100" s="62">
        <f>+'Estimación de Tamaño'!B100</f>
        <v>0</v>
      </c>
      <c r="C100" s="26">
        <f>+'Estimación de Tamaño'!C100</f>
        <v>0</v>
      </c>
      <c r="D100" s="26"/>
      <c r="E100" s="20">
        <f>+'Estimación de Tamaño'!M100</f>
        <v>0</v>
      </c>
      <c r="F100" s="20">
        <v>1</v>
      </c>
      <c r="G100" s="20">
        <v>1</v>
      </c>
      <c r="H100" s="63">
        <f t="shared" si="1"/>
        <v>0</v>
      </c>
      <c r="I100" s="17"/>
      <c r="J100" s="133"/>
    </row>
    <row r="101" spans="2:10" ht="15.75" customHeight="1" x14ac:dyDescent="0.15">
      <c r="B101" s="62">
        <f>+'Estimación de Tamaño'!B101</f>
        <v>0</v>
      </c>
      <c r="C101" s="26">
        <f>+'Estimación de Tamaño'!C101</f>
        <v>0</v>
      </c>
      <c r="D101" s="26"/>
      <c r="E101" s="20">
        <f>+'Estimación de Tamaño'!M101</f>
        <v>0</v>
      </c>
      <c r="F101" s="20">
        <v>1</v>
      </c>
      <c r="G101" s="20">
        <v>1</v>
      </c>
      <c r="H101" s="63">
        <f t="shared" si="1"/>
        <v>0</v>
      </c>
      <c r="I101" s="17"/>
      <c r="J101" s="133"/>
    </row>
    <row r="102" spans="2:10" ht="15.75" customHeight="1" x14ac:dyDescent="0.15">
      <c r="B102" s="62">
        <f>+'Estimación de Tamaño'!B102</f>
        <v>0</v>
      </c>
      <c r="C102" s="26">
        <f>+'Estimación de Tamaño'!C102</f>
        <v>0</v>
      </c>
      <c r="D102" s="26"/>
      <c r="E102" s="20">
        <f>+'Estimación de Tamaño'!M102</f>
        <v>0</v>
      </c>
      <c r="F102" s="20">
        <v>1</v>
      </c>
      <c r="G102" s="20">
        <v>1</v>
      </c>
      <c r="H102" s="63">
        <f t="shared" si="1"/>
        <v>0</v>
      </c>
      <c r="I102" s="17"/>
      <c r="J102" s="133"/>
    </row>
    <row r="103" spans="2:10" ht="15.75" customHeight="1" x14ac:dyDescent="0.15">
      <c r="B103" s="62">
        <f>+'Estimación de Tamaño'!B103</f>
        <v>0</v>
      </c>
      <c r="C103" s="26">
        <f>+'Estimación de Tamaño'!C103</f>
        <v>0</v>
      </c>
      <c r="D103" s="26"/>
      <c r="E103" s="20">
        <f>+'Estimación de Tamaño'!M103</f>
        <v>0</v>
      </c>
      <c r="F103" s="20">
        <v>1</v>
      </c>
      <c r="G103" s="20">
        <v>1</v>
      </c>
      <c r="H103" s="63">
        <f t="shared" si="1"/>
        <v>0</v>
      </c>
      <c r="I103" s="17"/>
      <c r="J103" s="133"/>
    </row>
    <row r="104" spans="2:10" ht="15.75" customHeight="1" x14ac:dyDescent="0.15">
      <c r="B104" s="62">
        <f>+'Estimación de Tamaño'!B104</f>
        <v>0</v>
      </c>
      <c r="C104" s="26">
        <f>+'Estimación de Tamaño'!C104</f>
        <v>0</v>
      </c>
      <c r="D104" s="26"/>
      <c r="E104" s="20">
        <f>+'Estimación de Tamaño'!M104</f>
        <v>0</v>
      </c>
      <c r="F104" s="20">
        <v>1</v>
      </c>
      <c r="G104" s="20">
        <v>1</v>
      </c>
      <c r="H104" s="63">
        <f t="shared" si="1"/>
        <v>0</v>
      </c>
      <c r="I104" s="17"/>
      <c r="J104" s="133"/>
    </row>
    <row r="105" spans="2:10" ht="15.75" customHeight="1" x14ac:dyDescent="0.15">
      <c r="B105" s="62">
        <f>+'Estimación de Tamaño'!B105</f>
        <v>0</v>
      </c>
      <c r="C105" s="26">
        <f>+'Estimación de Tamaño'!C105</f>
        <v>0</v>
      </c>
      <c r="D105" s="26"/>
      <c r="E105" s="20">
        <f>+'Estimación de Tamaño'!M105</f>
        <v>0</v>
      </c>
      <c r="F105" s="20">
        <v>1</v>
      </c>
      <c r="G105" s="20">
        <v>1</v>
      </c>
      <c r="H105" s="63">
        <f t="shared" si="1"/>
        <v>0</v>
      </c>
      <c r="I105" s="17"/>
      <c r="J105" s="133"/>
    </row>
    <row r="106" spans="2:10" ht="15.75" customHeight="1" x14ac:dyDescent="0.15">
      <c r="B106" s="62">
        <f>+'Estimación de Tamaño'!B106</f>
        <v>0</v>
      </c>
      <c r="C106" s="26">
        <f>+'Estimación de Tamaño'!C106</f>
        <v>0</v>
      </c>
      <c r="D106" s="26"/>
      <c r="E106" s="20">
        <f>+'Estimación de Tamaño'!M106</f>
        <v>0</v>
      </c>
      <c r="F106" s="20">
        <v>1</v>
      </c>
      <c r="G106" s="20">
        <v>1</v>
      </c>
      <c r="H106" s="63">
        <f t="shared" si="1"/>
        <v>0</v>
      </c>
      <c r="I106" s="17"/>
      <c r="J106" s="133"/>
    </row>
    <row r="107" spans="2:10" ht="15.75" customHeight="1" x14ac:dyDescent="0.15">
      <c r="B107" s="62">
        <f>+'Estimación de Tamaño'!B107</f>
        <v>0</v>
      </c>
      <c r="C107" s="26">
        <f>+'Estimación de Tamaño'!C107</f>
        <v>0</v>
      </c>
      <c r="D107" s="26"/>
      <c r="E107" s="20">
        <f>+'Estimación de Tamaño'!M107</f>
        <v>0</v>
      </c>
      <c r="F107" s="20">
        <v>1</v>
      </c>
      <c r="G107" s="20">
        <v>1</v>
      </c>
      <c r="H107" s="63">
        <f t="shared" si="1"/>
        <v>0</v>
      </c>
      <c r="I107" s="17"/>
      <c r="J107" s="133"/>
    </row>
    <row r="108" spans="2:10" ht="15.75" customHeight="1" x14ac:dyDescent="0.15">
      <c r="B108" s="62">
        <f>+'Estimación de Tamaño'!B108</f>
        <v>0</v>
      </c>
      <c r="C108" s="26">
        <f>+'Estimación de Tamaño'!C108</f>
        <v>0</v>
      </c>
      <c r="D108" s="26"/>
      <c r="E108" s="20">
        <f>+'Estimación de Tamaño'!M108</f>
        <v>0</v>
      </c>
      <c r="F108" s="20">
        <v>1</v>
      </c>
      <c r="G108" s="20">
        <v>1</v>
      </c>
      <c r="H108" s="63">
        <f t="shared" si="1"/>
        <v>0</v>
      </c>
      <c r="I108" s="17"/>
      <c r="J108" s="133"/>
    </row>
    <row r="109" spans="2:10" ht="15.75" customHeight="1" x14ac:dyDescent="0.15">
      <c r="B109" s="62">
        <f>+'Estimación de Tamaño'!B109</f>
        <v>0</v>
      </c>
      <c r="C109" s="26">
        <f>+'Estimación de Tamaño'!C109</f>
        <v>0</v>
      </c>
      <c r="D109" s="26"/>
      <c r="E109" s="20">
        <f>+'Estimación de Tamaño'!M109</f>
        <v>0</v>
      </c>
      <c r="F109" s="20">
        <v>1</v>
      </c>
      <c r="G109" s="20">
        <v>1</v>
      </c>
      <c r="H109" s="63">
        <f t="shared" si="1"/>
        <v>0</v>
      </c>
      <c r="I109" s="17"/>
      <c r="J109" s="133"/>
    </row>
    <row r="110" spans="2:10" ht="15.75" customHeight="1" x14ac:dyDescent="0.15">
      <c r="B110" s="62">
        <f>+'Estimación de Tamaño'!B110</f>
        <v>0</v>
      </c>
      <c r="C110" s="26">
        <f>+'Estimación de Tamaño'!C110</f>
        <v>0</v>
      </c>
      <c r="D110" s="26"/>
      <c r="E110" s="20">
        <f>+'Estimación de Tamaño'!M110</f>
        <v>0</v>
      </c>
      <c r="F110" s="20">
        <v>1</v>
      </c>
      <c r="G110" s="20">
        <v>1</v>
      </c>
      <c r="H110" s="63">
        <f t="shared" si="1"/>
        <v>0</v>
      </c>
      <c r="I110" s="17"/>
      <c r="J110" s="133"/>
    </row>
    <row r="111" spans="2:10" ht="15.75" customHeight="1" x14ac:dyDescent="0.15">
      <c r="B111" s="62">
        <f>+'Estimación de Tamaño'!B111</f>
        <v>0</v>
      </c>
      <c r="C111" s="26">
        <f>+'Estimación de Tamaño'!C111</f>
        <v>0</v>
      </c>
      <c r="D111" s="26"/>
      <c r="E111" s="20">
        <f>+'Estimación de Tamaño'!M111</f>
        <v>0</v>
      </c>
      <c r="F111" s="20">
        <v>1</v>
      </c>
      <c r="G111" s="20">
        <v>1</v>
      </c>
      <c r="H111" s="63">
        <f t="shared" si="1"/>
        <v>0</v>
      </c>
      <c r="I111" s="17"/>
      <c r="J111" s="133"/>
    </row>
    <row r="112" spans="2:10" ht="15.75" customHeight="1" x14ac:dyDescent="0.15">
      <c r="B112" s="62">
        <f>+'Estimación de Tamaño'!B112</f>
        <v>0</v>
      </c>
      <c r="C112" s="26">
        <f>+'Estimación de Tamaño'!C112</f>
        <v>0</v>
      </c>
      <c r="D112" s="26"/>
      <c r="E112" s="20">
        <f>+'Estimación de Tamaño'!M112</f>
        <v>0</v>
      </c>
      <c r="F112" s="20">
        <v>1</v>
      </c>
      <c r="G112" s="20">
        <v>1</v>
      </c>
      <c r="H112" s="63">
        <f t="shared" si="1"/>
        <v>0</v>
      </c>
      <c r="I112" s="17"/>
      <c r="J112" s="133"/>
    </row>
    <row r="113" spans="2:10" ht="15.75" customHeight="1" x14ac:dyDescent="0.15">
      <c r="B113" s="62">
        <f>+'Estimación de Tamaño'!B113</f>
        <v>0</v>
      </c>
      <c r="C113" s="26">
        <f>+'Estimación de Tamaño'!C113</f>
        <v>0</v>
      </c>
      <c r="D113" s="26"/>
      <c r="E113" s="20">
        <f>+'Estimación de Tamaño'!M113</f>
        <v>0</v>
      </c>
      <c r="F113" s="20">
        <v>1</v>
      </c>
      <c r="G113" s="20">
        <v>1</v>
      </c>
      <c r="H113" s="63">
        <f t="shared" si="1"/>
        <v>0</v>
      </c>
      <c r="I113" s="17"/>
      <c r="J113" s="133"/>
    </row>
    <row r="114" spans="2:10" ht="15.75" customHeight="1" x14ac:dyDescent="0.15">
      <c r="B114" s="62">
        <f>+'Estimación de Tamaño'!B114</f>
        <v>0</v>
      </c>
      <c r="C114" s="26">
        <f>+'Estimación de Tamaño'!C114</f>
        <v>0</v>
      </c>
      <c r="D114" s="26"/>
      <c r="E114" s="20">
        <f>+'Estimación de Tamaño'!M114</f>
        <v>0</v>
      </c>
      <c r="F114" s="20">
        <v>1</v>
      </c>
      <c r="G114" s="20">
        <v>1</v>
      </c>
      <c r="H114" s="63">
        <f t="shared" si="1"/>
        <v>0</v>
      </c>
      <c r="I114" s="17"/>
      <c r="J114" s="133"/>
    </row>
    <row r="115" spans="2:10" ht="15.75" customHeight="1" x14ac:dyDescent="0.15">
      <c r="B115" s="62">
        <f>+'Estimación de Tamaño'!B115</f>
        <v>0</v>
      </c>
      <c r="C115" s="26">
        <f>+'Estimación de Tamaño'!C115</f>
        <v>0</v>
      </c>
      <c r="D115" s="26"/>
      <c r="E115" s="20">
        <f>+'Estimación de Tamaño'!M115</f>
        <v>0</v>
      </c>
      <c r="F115" s="20">
        <v>1</v>
      </c>
      <c r="G115" s="20">
        <v>1</v>
      </c>
      <c r="H115" s="63">
        <f t="shared" si="1"/>
        <v>0</v>
      </c>
      <c r="I115" s="17"/>
      <c r="J115" s="133"/>
    </row>
    <row r="116" spans="2:10" ht="15.75" customHeight="1" x14ac:dyDescent="0.15">
      <c r="B116" s="62">
        <f>+'Estimación de Tamaño'!B116</f>
        <v>0</v>
      </c>
      <c r="C116" s="26">
        <f>+'Estimación de Tamaño'!C116</f>
        <v>0</v>
      </c>
      <c r="D116" s="26"/>
      <c r="E116" s="20">
        <f>+'Estimación de Tamaño'!M116</f>
        <v>0</v>
      </c>
      <c r="F116" s="20">
        <v>1</v>
      </c>
      <c r="G116" s="20">
        <v>1</v>
      </c>
      <c r="H116" s="63">
        <f t="shared" si="1"/>
        <v>0</v>
      </c>
      <c r="I116" s="17"/>
      <c r="J116" s="133"/>
    </row>
    <row r="117" spans="2:10" ht="15.75" customHeight="1" x14ac:dyDescent="0.15">
      <c r="B117" s="62">
        <f>+'Estimación de Tamaño'!B117</f>
        <v>0</v>
      </c>
      <c r="C117" s="26">
        <f>+'Estimación de Tamaño'!C117</f>
        <v>0</v>
      </c>
      <c r="D117" s="26"/>
      <c r="E117" s="20">
        <f>+'Estimación de Tamaño'!M117</f>
        <v>0</v>
      </c>
      <c r="F117" s="20">
        <v>1</v>
      </c>
      <c r="G117" s="20">
        <v>1</v>
      </c>
      <c r="H117" s="63">
        <f t="shared" si="1"/>
        <v>0</v>
      </c>
      <c r="I117" s="17"/>
      <c r="J117" s="133"/>
    </row>
    <row r="118" spans="2:10" ht="15.75" customHeight="1" x14ac:dyDescent="0.15">
      <c r="B118" s="62">
        <f>+'Estimación de Tamaño'!B118</f>
        <v>0</v>
      </c>
      <c r="C118" s="26">
        <f>+'Estimación de Tamaño'!C118</f>
        <v>0</v>
      </c>
      <c r="D118" s="26"/>
      <c r="E118" s="20">
        <f>+'Estimación de Tamaño'!M118</f>
        <v>0</v>
      </c>
      <c r="F118" s="20">
        <v>1</v>
      </c>
      <c r="G118" s="20">
        <v>1</v>
      </c>
      <c r="H118" s="63">
        <f t="shared" si="1"/>
        <v>0</v>
      </c>
      <c r="I118" s="17"/>
      <c r="J118" s="133"/>
    </row>
    <row r="119" spans="2:10" ht="15.75" customHeight="1" x14ac:dyDescent="0.15">
      <c r="B119" s="62">
        <f>+'Estimación de Tamaño'!B119</f>
        <v>0</v>
      </c>
      <c r="C119" s="26">
        <f>+'Estimación de Tamaño'!C119</f>
        <v>0</v>
      </c>
      <c r="D119" s="26"/>
      <c r="E119" s="20">
        <f>+'Estimación de Tamaño'!M119</f>
        <v>0</v>
      </c>
      <c r="F119" s="20">
        <v>1</v>
      </c>
      <c r="G119" s="20">
        <v>1</v>
      </c>
      <c r="H119" s="63">
        <f t="shared" si="1"/>
        <v>0</v>
      </c>
      <c r="I119" s="17"/>
      <c r="J119" s="133"/>
    </row>
    <row r="120" spans="2:10" ht="15.75" customHeight="1" x14ac:dyDescent="0.15">
      <c r="B120" s="62">
        <f>+'Estimación de Tamaño'!B120</f>
        <v>0</v>
      </c>
      <c r="C120" s="26">
        <f>+'Estimación de Tamaño'!C120</f>
        <v>0</v>
      </c>
      <c r="D120" s="26"/>
      <c r="E120" s="20">
        <f>+'Estimación de Tamaño'!M120</f>
        <v>0</v>
      </c>
      <c r="F120" s="20">
        <v>1</v>
      </c>
      <c r="G120" s="20">
        <v>1</v>
      </c>
      <c r="H120" s="63">
        <f t="shared" si="1"/>
        <v>0</v>
      </c>
      <c r="I120" s="17"/>
      <c r="J120" s="133"/>
    </row>
    <row r="121" spans="2:10" ht="15.75" customHeight="1" x14ac:dyDescent="0.15">
      <c r="B121" s="62">
        <f>+'Estimación de Tamaño'!B121</f>
        <v>0</v>
      </c>
      <c r="C121" s="26">
        <f>+'Estimación de Tamaño'!C121</f>
        <v>0</v>
      </c>
      <c r="D121" s="26"/>
      <c r="E121" s="20">
        <f>+'Estimación de Tamaño'!M121</f>
        <v>0</v>
      </c>
      <c r="F121" s="20">
        <v>1</v>
      </c>
      <c r="G121" s="20">
        <v>1</v>
      </c>
      <c r="H121" s="63">
        <f t="shared" si="1"/>
        <v>0</v>
      </c>
      <c r="I121" s="17"/>
      <c r="J121" s="133"/>
    </row>
    <row r="122" spans="2:10" ht="15.75" customHeight="1" x14ac:dyDescent="0.15">
      <c r="B122" s="62">
        <f>+'Estimación de Tamaño'!B122</f>
        <v>0</v>
      </c>
      <c r="C122" s="26">
        <f>+'Estimación de Tamaño'!C122</f>
        <v>0</v>
      </c>
      <c r="D122" s="26"/>
      <c r="E122" s="20">
        <f>+'Estimación de Tamaño'!M122</f>
        <v>0</v>
      </c>
      <c r="F122" s="20">
        <v>1</v>
      </c>
      <c r="G122" s="20">
        <v>1</v>
      </c>
      <c r="H122" s="63">
        <f t="shared" si="1"/>
        <v>0</v>
      </c>
      <c r="I122" s="17"/>
      <c r="J122" s="133"/>
    </row>
    <row r="123" spans="2:10" ht="15.75" customHeight="1" x14ac:dyDescent="0.15">
      <c r="B123" s="62">
        <f>+'Estimación de Tamaño'!B123</f>
        <v>0</v>
      </c>
      <c r="C123" s="26">
        <f>+'Estimación de Tamaño'!C123</f>
        <v>0</v>
      </c>
      <c r="D123" s="26"/>
      <c r="E123" s="20">
        <f>+'Estimación de Tamaño'!M123</f>
        <v>0</v>
      </c>
      <c r="F123" s="20">
        <v>1</v>
      </c>
      <c r="G123" s="20">
        <v>1</v>
      </c>
      <c r="H123" s="63">
        <f t="shared" si="1"/>
        <v>0</v>
      </c>
      <c r="I123" s="17"/>
      <c r="J123" s="133"/>
    </row>
    <row r="124" spans="2:10" ht="15.75" customHeight="1" x14ac:dyDescent="0.15">
      <c r="B124" s="62">
        <f>+'Estimación de Tamaño'!B124</f>
        <v>0</v>
      </c>
      <c r="C124" s="26">
        <f>+'Estimación de Tamaño'!C124</f>
        <v>0</v>
      </c>
      <c r="D124" s="26"/>
      <c r="E124" s="20">
        <f>+'Estimación de Tamaño'!M124</f>
        <v>0</v>
      </c>
      <c r="F124" s="20">
        <v>1</v>
      </c>
      <c r="G124" s="20">
        <v>1</v>
      </c>
      <c r="H124" s="63">
        <f t="shared" si="1"/>
        <v>0</v>
      </c>
      <c r="I124" s="17"/>
      <c r="J124" s="133"/>
    </row>
    <row r="125" spans="2:10" ht="15.75" customHeight="1" x14ac:dyDescent="0.15">
      <c r="B125" s="62">
        <f>+'Estimación de Tamaño'!B125</f>
        <v>0</v>
      </c>
      <c r="C125" s="26">
        <f>+'Estimación de Tamaño'!C125</f>
        <v>0</v>
      </c>
      <c r="D125" s="26"/>
      <c r="E125" s="20">
        <f>+'Estimación de Tamaño'!M125</f>
        <v>0</v>
      </c>
      <c r="F125" s="20">
        <v>1</v>
      </c>
      <c r="G125" s="20">
        <v>1</v>
      </c>
      <c r="H125" s="63">
        <f t="shared" si="1"/>
        <v>0</v>
      </c>
      <c r="I125" s="17"/>
      <c r="J125" s="133"/>
    </row>
    <row r="126" spans="2:10" ht="15.75" customHeight="1" x14ac:dyDescent="0.15">
      <c r="B126" s="62">
        <f>+'Estimación de Tamaño'!B126</f>
        <v>0</v>
      </c>
      <c r="C126" s="26">
        <f>+'Estimación de Tamaño'!C126</f>
        <v>0</v>
      </c>
      <c r="D126" s="26"/>
      <c r="E126" s="20">
        <f>+'Estimación de Tamaño'!M126</f>
        <v>0</v>
      </c>
      <c r="F126" s="20">
        <v>1</v>
      </c>
      <c r="G126" s="20">
        <v>1</v>
      </c>
      <c r="H126" s="63">
        <f t="shared" si="1"/>
        <v>0</v>
      </c>
      <c r="I126" s="17"/>
      <c r="J126" s="133"/>
    </row>
    <row r="127" spans="2:10" ht="15.75" customHeight="1" x14ac:dyDescent="0.15">
      <c r="B127" s="62">
        <f>+'Estimación de Tamaño'!B127</f>
        <v>0</v>
      </c>
      <c r="C127" s="26">
        <f>+'Estimación de Tamaño'!C127</f>
        <v>0</v>
      </c>
      <c r="D127" s="26"/>
      <c r="E127" s="20">
        <f>+'Estimación de Tamaño'!M127</f>
        <v>0</v>
      </c>
      <c r="F127" s="20">
        <v>1</v>
      </c>
      <c r="G127" s="20">
        <v>1</v>
      </c>
      <c r="H127" s="63">
        <f t="shared" si="1"/>
        <v>0</v>
      </c>
      <c r="I127" s="17"/>
      <c r="J127" s="133"/>
    </row>
    <row r="128" spans="2:10" ht="15.75" customHeight="1" x14ac:dyDescent="0.15">
      <c r="B128" s="62">
        <f>+'Estimación de Tamaño'!B128</f>
        <v>0</v>
      </c>
      <c r="C128" s="26">
        <f>+'Estimación de Tamaño'!C128</f>
        <v>0</v>
      </c>
      <c r="D128" s="26"/>
      <c r="E128" s="20">
        <f>+'Estimación de Tamaño'!M128</f>
        <v>0</v>
      </c>
      <c r="F128" s="20">
        <v>1</v>
      </c>
      <c r="G128" s="20">
        <v>1</v>
      </c>
      <c r="H128" s="63">
        <f t="shared" si="1"/>
        <v>0</v>
      </c>
      <c r="I128" s="17"/>
      <c r="J128" s="133"/>
    </row>
    <row r="129" spans="2:10" ht="15.75" customHeight="1" x14ac:dyDescent="0.15">
      <c r="B129" s="62">
        <f>+'Estimación de Tamaño'!B129</f>
        <v>0</v>
      </c>
      <c r="C129" s="26">
        <f>+'Estimación de Tamaño'!C129</f>
        <v>0</v>
      </c>
      <c r="D129" s="26"/>
      <c r="E129" s="20">
        <f>+'Estimación de Tamaño'!M129</f>
        <v>0</v>
      </c>
      <c r="F129" s="20">
        <v>1</v>
      </c>
      <c r="G129" s="20">
        <v>1</v>
      </c>
      <c r="H129" s="63">
        <f t="shared" si="1"/>
        <v>0</v>
      </c>
      <c r="I129" s="17"/>
      <c r="J129" s="133"/>
    </row>
    <row r="130" spans="2:10" ht="15.75" customHeight="1" x14ac:dyDescent="0.15">
      <c r="B130" s="62">
        <f>+'Estimación de Tamaño'!B130</f>
        <v>0</v>
      </c>
      <c r="C130" s="26">
        <f>+'Estimación de Tamaño'!C130</f>
        <v>0</v>
      </c>
      <c r="D130" s="26"/>
      <c r="E130" s="20">
        <f>+'Estimación de Tamaño'!M130</f>
        <v>0</v>
      </c>
      <c r="F130" s="20">
        <v>1</v>
      </c>
      <c r="G130" s="20">
        <v>1</v>
      </c>
      <c r="H130" s="63">
        <f t="shared" si="1"/>
        <v>0</v>
      </c>
      <c r="I130" s="17"/>
      <c r="J130" s="133"/>
    </row>
    <row r="131" spans="2:10" ht="15.75" customHeight="1" x14ac:dyDescent="0.15">
      <c r="B131" s="62">
        <f>+'Estimación de Tamaño'!B131</f>
        <v>0</v>
      </c>
      <c r="C131" s="26">
        <f>+'Estimación de Tamaño'!C131</f>
        <v>0</v>
      </c>
      <c r="D131" s="26"/>
      <c r="E131" s="20">
        <f>+'Estimación de Tamaño'!M131</f>
        <v>0</v>
      </c>
      <c r="F131" s="20">
        <v>1</v>
      </c>
      <c r="G131" s="20">
        <v>1</v>
      </c>
      <c r="H131" s="63">
        <f t="shared" si="1"/>
        <v>0</v>
      </c>
      <c r="I131" s="17"/>
      <c r="J131" s="133"/>
    </row>
    <row r="132" spans="2:10" ht="15.75" customHeight="1" x14ac:dyDescent="0.15">
      <c r="B132" s="62">
        <f>+'Estimación de Tamaño'!B132</f>
        <v>0</v>
      </c>
      <c r="C132" s="26">
        <f>+'Estimación de Tamaño'!C132</f>
        <v>0</v>
      </c>
      <c r="D132" s="26"/>
      <c r="E132" s="20">
        <f>+'Estimación de Tamaño'!M132</f>
        <v>0</v>
      </c>
      <c r="F132" s="20">
        <v>1</v>
      </c>
      <c r="G132" s="20">
        <v>1</v>
      </c>
      <c r="H132" s="63">
        <f t="shared" si="1"/>
        <v>0</v>
      </c>
      <c r="I132" s="17"/>
      <c r="J132" s="133"/>
    </row>
    <row r="133" spans="2:10" ht="15.75" customHeight="1" x14ac:dyDescent="0.15">
      <c r="B133" s="62">
        <f>+'Estimación de Tamaño'!B133</f>
        <v>0</v>
      </c>
      <c r="C133" s="26">
        <f>+'Estimación de Tamaño'!C133</f>
        <v>0</v>
      </c>
      <c r="D133" s="26"/>
      <c r="E133" s="20">
        <f>+'Estimación de Tamaño'!M133</f>
        <v>0</v>
      </c>
      <c r="F133" s="20">
        <v>1</v>
      </c>
      <c r="G133" s="20">
        <v>1</v>
      </c>
      <c r="H133" s="63">
        <f t="shared" si="1"/>
        <v>0</v>
      </c>
      <c r="I133" s="17"/>
      <c r="J133" s="133"/>
    </row>
    <row r="134" spans="2:10" ht="15.75" customHeight="1" x14ac:dyDescent="0.15">
      <c r="B134" s="62">
        <f>+'Estimación de Tamaño'!B134</f>
        <v>0</v>
      </c>
      <c r="C134" s="26">
        <f>+'Estimación de Tamaño'!C134</f>
        <v>0</v>
      </c>
      <c r="D134" s="26"/>
      <c r="E134" s="20">
        <f>+'Estimación de Tamaño'!M134</f>
        <v>0</v>
      </c>
      <c r="F134" s="20">
        <v>1</v>
      </c>
      <c r="G134" s="20">
        <v>1</v>
      </c>
      <c r="H134" s="63">
        <f t="shared" ref="H134:H197" si="2">E134*F134*G134</f>
        <v>0</v>
      </c>
      <c r="I134" s="17"/>
      <c r="J134" s="133"/>
    </row>
    <row r="135" spans="2:10" ht="15.75" customHeight="1" x14ac:dyDescent="0.15">
      <c r="B135" s="62">
        <f>+'Estimación de Tamaño'!B135</f>
        <v>0</v>
      </c>
      <c r="C135" s="26">
        <f>+'Estimación de Tamaño'!C135</f>
        <v>0</v>
      </c>
      <c r="D135" s="26"/>
      <c r="E135" s="20">
        <f>+'Estimación de Tamaño'!M135</f>
        <v>0</v>
      </c>
      <c r="F135" s="20">
        <v>1</v>
      </c>
      <c r="G135" s="20">
        <v>1</v>
      </c>
      <c r="H135" s="63">
        <f t="shared" si="2"/>
        <v>0</v>
      </c>
      <c r="I135" s="17"/>
      <c r="J135" s="133"/>
    </row>
    <row r="136" spans="2:10" ht="15.75" customHeight="1" x14ac:dyDescent="0.15">
      <c r="B136" s="62">
        <f>+'Estimación de Tamaño'!B136</f>
        <v>0</v>
      </c>
      <c r="C136" s="26">
        <f>+'Estimación de Tamaño'!C136</f>
        <v>0</v>
      </c>
      <c r="D136" s="26"/>
      <c r="E136" s="20">
        <f>+'Estimación de Tamaño'!M136</f>
        <v>0</v>
      </c>
      <c r="F136" s="20">
        <v>1</v>
      </c>
      <c r="G136" s="20">
        <v>1</v>
      </c>
      <c r="H136" s="63">
        <f t="shared" si="2"/>
        <v>0</v>
      </c>
      <c r="I136" s="17"/>
      <c r="J136" s="133"/>
    </row>
    <row r="137" spans="2:10" ht="15.75" customHeight="1" x14ac:dyDescent="0.15">
      <c r="B137" s="62">
        <f>+'Estimación de Tamaño'!B137</f>
        <v>0</v>
      </c>
      <c r="C137" s="26">
        <f>+'Estimación de Tamaño'!C137</f>
        <v>0</v>
      </c>
      <c r="D137" s="26"/>
      <c r="E137" s="20">
        <f>+'Estimación de Tamaño'!M137</f>
        <v>0</v>
      </c>
      <c r="F137" s="20">
        <v>1</v>
      </c>
      <c r="G137" s="20">
        <v>1</v>
      </c>
      <c r="H137" s="63">
        <f t="shared" si="2"/>
        <v>0</v>
      </c>
      <c r="I137" s="17"/>
      <c r="J137" s="133"/>
    </row>
    <row r="138" spans="2:10" ht="15.75" customHeight="1" x14ac:dyDescent="0.15">
      <c r="B138" s="62">
        <f>+'Estimación de Tamaño'!B138</f>
        <v>0</v>
      </c>
      <c r="C138" s="26">
        <f>+'Estimación de Tamaño'!C138</f>
        <v>0</v>
      </c>
      <c r="D138" s="26"/>
      <c r="E138" s="20">
        <f>+'Estimación de Tamaño'!M138</f>
        <v>0</v>
      </c>
      <c r="F138" s="20">
        <v>1</v>
      </c>
      <c r="G138" s="20">
        <v>1</v>
      </c>
      <c r="H138" s="63">
        <f t="shared" si="2"/>
        <v>0</v>
      </c>
      <c r="I138" s="17"/>
      <c r="J138" s="133"/>
    </row>
    <row r="139" spans="2:10" ht="15.75" customHeight="1" x14ac:dyDescent="0.15">
      <c r="B139" s="62">
        <f>+'Estimación de Tamaño'!B139</f>
        <v>0</v>
      </c>
      <c r="C139" s="26">
        <f>+'Estimación de Tamaño'!C139</f>
        <v>0</v>
      </c>
      <c r="D139" s="26"/>
      <c r="E139" s="20">
        <f>+'Estimación de Tamaño'!M139</f>
        <v>0</v>
      </c>
      <c r="F139" s="20">
        <v>1</v>
      </c>
      <c r="G139" s="20">
        <v>1</v>
      </c>
      <c r="H139" s="63">
        <f t="shared" si="2"/>
        <v>0</v>
      </c>
      <c r="I139" s="17"/>
      <c r="J139" s="133"/>
    </row>
    <row r="140" spans="2:10" ht="15.75" customHeight="1" x14ac:dyDescent="0.15">
      <c r="B140" s="62">
        <f>+'Estimación de Tamaño'!B140</f>
        <v>0</v>
      </c>
      <c r="C140" s="26">
        <f>+'Estimación de Tamaño'!C140</f>
        <v>0</v>
      </c>
      <c r="D140" s="26"/>
      <c r="E140" s="20">
        <f>+'Estimación de Tamaño'!M140</f>
        <v>0</v>
      </c>
      <c r="F140" s="20">
        <v>1</v>
      </c>
      <c r="G140" s="20">
        <v>1</v>
      </c>
      <c r="H140" s="63">
        <f t="shared" si="2"/>
        <v>0</v>
      </c>
      <c r="I140" s="17"/>
      <c r="J140" s="133"/>
    </row>
    <row r="141" spans="2:10" ht="15.75" customHeight="1" x14ac:dyDescent="0.15">
      <c r="B141" s="62">
        <f>+'Estimación de Tamaño'!B141</f>
        <v>0</v>
      </c>
      <c r="C141" s="26">
        <f>+'Estimación de Tamaño'!C141</f>
        <v>0</v>
      </c>
      <c r="D141" s="26"/>
      <c r="E141" s="20">
        <f>+'Estimación de Tamaño'!M141</f>
        <v>0</v>
      </c>
      <c r="F141" s="20">
        <v>1</v>
      </c>
      <c r="G141" s="20">
        <v>1</v>
      </c>
      <c r="H141" s="63">
        <f t="shared" si="2"/>
        <v>0</v>
      </c>
      <c r="I141" s="17"/>
      <c r="J141" s="133"/>
    </row>
    <row r="142" spans="2:10" ht="15.75" customHeight="1" x14ac:dyDescent="0.15">
      <c r="B142" s="62">
        <f>+'Estimación de Tamaño'!B142</f>
        <v>0</v>
      </c>
      <c r="C142" s="26">
        <f>+'Estimación de Tamaño'!C142</f>
        <v>0</v>
      </c>
      <c r="D142" s="26"/>
      <c r="E142" s="20">
        <f>+'Estimación de Tamaño'!M142</f>
        <v>0</v>
      </c>
      <c r="F142" s="20">
        <v>1</v>
      </c>
      <c r="G142" s="20">
        <v>1</v>
      </c>
      <c r="H142" s="63">
        <f t="shared" si="2"/>
        <v>0</v>
      </c>
      <c r="I142" s="17"/>
      <c r="J142" s="133"/>
    </row>
    <row r="143" spans="2:10" ht="15.75" customHeight="1" x14ac:dyDescent="0.15">
      <c r="B143" s="62">
        <f>+'Estimación de Tamaño'!B143</f>
        <v>0</v>
      </c>
      <c r="C143" s="26">
        <f>+'Estimación de Tamaño'!C143</f>
        <v>0</v>
      </c>
      <c r="D143" s="26"/>
      <c r="E143" s="20">
        <f>+'Estimación de Tamaño'!M143</f>
        <v>0</v>
      </c>
      <c r="F143" s="20">
        <v>1</v>
      </c>
      <c r="G143" s="20">
        <v>1</v>
      </c>
      <c r="H143" s="63">
        <f t="shared" si="2"/>
        <v>0</v>
      </c>
      <c r="I143" s="17"/>
      <c r="J143" s="133"/>
    </row>
    <row r="144" spans="2:10" ht="15.75" customHeight="1" x14ac:dyDescent="0.15">
      <c r="B144" s="62">
        <f>+'Estimación de Tamaño'!B144</f>
        <v>0</v>
      </c>
      <c r="C144" s="26">
        <f>+'Estimación de Tamaño'!C144</f>
        <v>0</v>
      </c>
      <c r="D144" s="26"/>
      <c r="E144" s="20">
        <f>+'Estimación de Tamaño'!M144</f>
        <v>0</v>
      </c>
      <c r="F144" s="20">
        <v>1</v>
      </c>
      <c r="G144" s="20">
        <v>1</v>
      </c>
      <c r="H144" s="63">
        <f t="shared" si="2"/>
        <v>0</v>
      </c>
      <c r="I144" s="17"/>
      <c r="J144" s="133"/>
    </row>
    <row r="145" spans="2:10" ht="15.75" customHeight="1" x14ac:dyDescent="0.15">
      <c r="B145" s="62">
        <f>+'Estimación de Tamaño'!B145</f>
        <v>0</v>
      </c>
      <c r="C145" s="26">
        <f>+'Estimación de Tamaño'!C145</f>
        <v>0</v>
      </c>
      <c r="D145" s="26"/>
      <c r="E145" s="20">
        <f>+'Estimación de Tamaño'!M145</f>
        <v>0</v>
      </c>
      <c r="F145" s="20">
        <v>1</v>
      </c>
      <c r="G145" s="20">
        <v>1</v>
      </c>
      <c r="H145" s="63">
        <f t="shared" si="2"/>
        <v>0</v>
      </c>
      <c r="I145" s="17"/>
      <c r="J145" s="133"/>
    </row>
    <row r="146" spans="2:10" ht="15.75" customHeight="1" x14ac:dyDescent="0.15">
      <c r="B146" s="62">
        <f>+'Estimación de Tamaño'!B146</f>
        <v>0</v>
      </c>
      <c r="C146" s="26">
        <f>+'Estimación de Tamaño'!C146</f>
        <v>0</v>
      </c>
      <c r="D146" s="26"/>
      <c r="E146" s="20">
        <f>+'Estimación de Tamaño'!M146</f>
        <v>0</v>
      </c>
      <c r="F146" s="20">
        <v>1</v>
      </c>
      <c r="G146" s="20">
        <v>1</v>
      </c>
      <c r="H146" s="63">
        <f t="shared" si="2"/>
        <v>0</v>
      </c>
      <c r="I146" s="17"/>
      <c r="J146" s="133"/>
    </row>
    <row r="147" spans="2:10" ht="15.75" customHeight="1" x14ac:dyDescent="0.15">
      <c r="B147" s="62">
        <f>+'Estimación de Tamaño'!B147</f>
        <v>0</v>
      </c>
      <c r="C147" s="26">
        <f>+'Estimación de Tamaño'!C147</f>
        <v>0</v>
      </c>
      <c r="D147" s="26"/>
      <c r="E147" s="20">
        <f>+'Estimación de Tamaño'!M147</f>
        <v>0</v>
      </c>
      <c r="F147" s="20">
        <v>1</v>
      </c>
      <c r="G147" s="20">
        <v>1</v>
      </c>
      <c r="H147" s="63">
        <f t="shared" si="2"/>
        <v>0</v>
      </c>
      <c r="I147" s="17"/>
      <c r="J147" s="133"/>
    </row>
    <row r="148" spans="2:10" ht="15.75" customHeight="1" x14ac:dyDescent="0.15">
      <c r="B148" s="62">
        <f>+'Estimación de Tamaño'!B148</f>
        <v>0</v>
      </c>
      <c r="C148" s="26">
        <f>+'Estimación de Tamaño'!C148</f>
        <v>0</v>
      </c>
      <c r="D148" s="26"/>
      <c r="E148" s="20">
        <f>+'Estimación de Tamaño'!M148</f>
        <v>0</v>
      </c>
      <c r="F148" s="20">
        <v>1</v>
      </c>
      <c r="G148" s="20">
        <v>1</v>
      </c>
      <c r="H148" s="63">
        <f t="shared" si="2"/>
        <v>0</v>
      </c>
      <c r="I148" s="17"/>
      <c r="J148" s="133"/>
    </row>
    <row r="149" spans="2:10" ht="15.75" customHeight="1" x14ac:dyDescent="0.15">
      <c r="B149" s="62">
        <f>+'Estimación de Tamaño'!B149</f>
        <v>0</v>
      </c>
      <c r="C149" s="26">
        <f>+'Estimación de Tamaño'!C149</f>
        <v>0</v>
      </c>
      <c r="D149" s="26"/>
      <c r="E149" s="20">
        <f>+'Estimación de Tamaño'!M149</f>
        <v>0</v>
      </c>
      <c r="F149" s="20">
        <v>1</v>
      </c>
      <c r="G149" s="20">
        <v>1</v>
      </c>
      <c r="H149" s="63">
        <f t="shared" si="2"/>
        <v>0</v>
      </c>
      <c r="I149" s="17"/>
      <c r="J149" s="133"/>
    </row>
    <row r="150" spans="2:10" ht="15.75" customHeight="1" x14ac:dyDescent="0.15">
      <c r="B150" s="62">
        <f>+'Estimación de Tamaño'!B150</f>
        <v>0</v>
      </c>
      <c r="C150" s="26">
        <f>+'Estimación de Tamaño'!C150</f>
        <v>0</v>
      </c>
      <c r="D150" s="26"/>
      <c r="E150" s="20">
        <f>+'Estimación de Tamaño'!M150</f>
        <v>0</v>
      </c>
      <c r="F150" s="20">
        <v>1</v>
      </c>
      <c r="G150" s="20">
        <v>1</v>
      </c>
      <c r="H150" s="63">
        <f t="shared" si="2"/>
        <v>0</v>
      </c>
      <c r="I150" s="17"/>
      <c r="J150" s="133"/>
    </row>
    <row r="151" spans="2:10" ht="15.75" customHeight="1" x14ac:dyDescent="0.15">
      <c r="B151" s="62">
        <f>+'Estimación de Tamaño'!B151</f>
        <v>0</v>
      </c>
      <c r="C151" s="26">
        <f>+'Estimación de Tamaño'!C151</f>
        <v>0</v>
      </c>
      <c r="D151" s="26"/>
      <c r="E151" s="20">
        <f>+'Estimación de Tamaño'!M151</f>
        <v>0</v>
      </c>
      <c r="F151" s="20">
        <v>1</v>
      </c>
      <c r="G151" s="20">
        <v>1</v>
      </c>
      <c r="H151" s="63">
        <f t="shared" si="2"/>
        <v>0</v>
      </c>
      <c r="I151" s="17"/>
      <c r="J151" s="133"/>
    </row>
    <row r="152" spans="2:10" ht="15.75" customHeight="1" x14ac:dyDescent="0.15">
      <c r="B152" s="62">
        <f>+'Estimación de Tamaño'!B152</f>
        <v>0</v>
      </c>
      <c r="C152" s="26">
        <f>+'Estimación de Tamaño'!C152</f>
        <v>0</v>
      </c>
      <c r="D152" s="26"/>
      <c r="E152" s="20">
        <f>+'Estimación de Tamaño'!M152</f>
        <v>0</v>
      </c>
      <c r="F152" s="20">
        <v>1</v>
      </c>
      <c r="G152" s="20">
        <v>1</v>
      </c>
      <c r="H152" s="63">
        <f t="shared" si="2"/>
        <v>0</v>
      </c>
      <c r="I152" s="17"/>
      <c r="J152" s="133"/>
    </row>
    <row r="153" spans="2:10" ht="15.75" customHeight="1" x14ac:dyDescent="0.15">
      <c r="B153" s="62">
        <f>+'Estimación de Tamaño'!B153</f>
        <v>0</v>
      </c>
      <c r="C153" s="26">
        <f>+'Estimación de Tamaño'!C153</f>
        <v>0</v>
      </c>
      <c r="D153" s="26"/>
      <c r="E153" s="20">
        <f>+'Estimación de Tamaño'!M153</f>
        <v>0</v>
      </c>
      <c r="F153" s="20">
        <v>1</v>
      </c>
      <c r="G153" s="20">
        <v>1</v>
      </c>
      <c r="H153" s="63">
        <f t="shared" si="2"/>
        <v>0</v>
      </c>
      <c r="I153" s="17"/>
      <c r="J153" s="133"/>
    </row>
    <row r="154" spans="2:10" ht="15.75" customHeight="1" x14ac:dyDescent="0.15">
      <c r="B154" s="62">
        <f>+'Estimación de Tamaño'!B154</f>
        <v>0</v>
      </c>
      <c r="C154" s="26">
        <f>+'Estimación de Tamaño'!C154</f>
        <v>0</v>
      </c>
      <c r="D154" s="26"/>
      <c r="E154" s="20">
        <f>+'Estimación de Tamaño'!M154</f>
        <v>0</v>
      </c>
      <c r="F154" s="20">
        <v>1</v>
      </c>
      <c r="G154" s="20">
        <v>1</v>
      </c>
      <c r="H154" s="63">
        <f t="shared" si="2"/>
        <v>0</v>
      </c>
      <c r="I154" s="17"/>
      <c r="J154" s="133"/>
    </row>
    <row r="155" spans="2:10" ht="15.75" customHeight="1" x14ac:dyDescent="0.15">
      <c r="B155" s="62">
        <f>+'Estimación de Tamaño'!B155</f>
        <v>0</v>
      </c>
      <c r="C155" s="26">
        <f>+'Estimación de Tamaño'!C155</f>
        <v>0</v>
      </c>
      <c r="D155" s="26"/>
      <c r="E155" s="20">
        <f>+'Estimación de Tamaño'!M155</f>
        <v>0</v>
      </c>
      <c r="F155" s="20">
        <v>1</v>
      </c>
      <c r="G155" s="20">
        <v>1</v>
      </c>
      <c r="H155" s="63">
        <f t="shared" si="2"/>
        <v>0</v>
      </c>
      <c r="I155" s="17"/>
      <c r="J155" s="133"/>
    </row>
    <row r="156" spans="2:10" ht="15.75" customHeight="1" x14ac:dyDescent="0.15">
      <c r="B156" s="62">
        <f>+'Estimación de Tamaño'!B156</f>
        <v>0</v>
      </c>
      <c r="C156" s="26">
        <f>+'Estimación de Tamaño'!C156</f>
        <v>0</v>
      </c>
      <c r="D156" s="26"/>
      <c r="E156" s="20">
        <f>+'Estimación de Tamaño'!M156</f>
        <v>0</v>
      </c>
      <c r="F156" s="20">
        <v>1</v>
      </c>
      <c r="G156" s="20">
        <v>1</v>
      </c>
      <c r="H156" s="63">
        <f t="shared" si="2"/>
        <v>0</v>
      </c>
      <c r="I156" s="17"/>
      <c r="J156" s="133"/>
    </row>
    <row r="157" spans="2:10" ht="15.75" customHeight="1" x14ac:dyDescent="0.15">
      <c r="B157" s="62">
        <f>+'Estimación de Tamaño'!B157</f>
        <v>0</v>
      </c>
      <c r="C157" s="26">
        <f>+'Estimación de Tamaño'!C157</f>
        <v>0</v>
      </c>
      <c r="D157" s="26"/>
      <c r="E157" s="20">
        <f>+'Estimación de Tamaño'!M157</f>
        <v>0</v>
      </c>
      <c r="F157" s="20">
        <v>1</v>
      </c>
      <c r="G157" s="20">
        <v>1</v>
      </c>
      <c r="H157" s="63">
        <f t="shared" si="2"/>
        <v>0</v>
      </c>
      <c r="I157" s="17"/>
      <c r="J157" s="133"/>
    </row>
    <row r="158" spans="2:10" ht="15.75" customHeight="1" x14ac:dyDescent="0.15">
      <c r="B158" s="62">
        <f>+'Estimación de Tamaño'!B158</f>
        <v>0</v>
      </c>
      <c r="C158" s="26">
        <f>+'Estimación de Tamaño'!C158</f>
        <v>0</v>
      </c>
      <c r="D158" s="26"/>
      <c r="E158" s="20">
        <f>+'Estimación de Tamaño'!M158</f>
        <v>0</v>
      </c>
      <c r="F158" s="20">
        <v>1</v>
      </c>
      <c r="G158" s="20">
        <v>1</v>
      </c>
      <c r="H158" s="63">
        <f t="shared" si="2"/>
        <v>0</v>
      </c>
      <c r="I158" s="17"/>
      <c r="J158" s="133"/>
    </row>
    <row r="159" spans="2:10" ht="15.75" customHeight="1" x14ac:dyDescent="0.15">
      <c r="B159" s="62">
        <f>+'Estimación de Tamaño'!B159</f>
        <v>0</v>
      </c>
      <c r="C159" s="26">
        <f>+'Estimación de Tamaño'!C159</f>
        <v>0</v>
      </c>
      <c r="D159" s="26"/>
      <c r="E159" s="20">
        <f>+'Estimación de Tamaño'!M159</f>
        <v>0</v>
      </c>
      <c r="F159" s="20">
        <v>1</v>
      </c>
      <c r="G159" s="20">
        <v>1</v>
      </c>
      <c r="H159" s="63">
        <f t="shared" si="2"/>
        <v>0</v>
      </c>
      <c r="I159" s="17"/>
      <c r="J159" s="133"/>
    </row>
    <row r="160" spans="2:10" ht="15.75" customHeight="1" x14ac:dyDescent="0.15">
      <c r="B160" s="62">
        <f>+'Estimación de Tamaño'!B160</f>
        <v>0</v>
      </c>
      <c r="C160" s="26">
        <f>+'Estimación de Tamaño'!C160</f>
        <v>0</v>
      </c>
      <c r="D160" s="26"/>
      <c r="E160" s="20">
        <f>+'Estimación de Tamaño'!M160</f>
        <v>0</v>
      </c>
      <c r="F160" s="20">
        <v>1</v>
      </c>
      <c r="G160" s="20">
        <v>1</v>
      </c>
      <c r="H160" s="63">
        <f t="shared" si="2"/>
        <v>0</v>
      </c>
      <c r="I160" s="17"/>
      <c r="J160" s="133"/>
    </row>
    <row r="161" spans="2:10" ht="15.75" customHeight="1" x14ac:dyDescent="0.15">
      <c r="B161" s="62">
        <f>+'Estimación de Tamaño'!B161</f>
        <v>0</v>
      </c>
      <c r="C161" s="26">
        <f>+'Estimación de Tamaño'!C161</f>
        <v>0</v>
      </c>
      <c r="D161" s="26"/>
      <c r="E161" s="20">
        <f>+'Estimación de Tamaño'!M161</f>
        <v>0</v>
      </c>
      <c r="F161" s="20">
        <v>1</v>
      </c>
      <c r="G161" s="20">
        <v>1</v>
      </c>
      <c r="H161" s="63">
        <f t="shared" si="2"/>
        <v>0</v>
      </c>
      <c r="I161" s="17"/>
      <c r="J161" s="133"/>
    </row>
    <row r="162" spans="2:10" ht="15.75" customHeight="1" x14ac:dyDescent="0.15">
      <c r="B162" s="62">
        <f>+'Estimación de Tamaño'!B162</f>
        <v>0</v>
      </c>
      <c r="C162" s="26">
        <f>+'Estimación de Tamaño'!C162</f>
        <v>0</v>
      </c>
      <c r="D162" s="26"/>
      <c r="E162" s="20">
        <f>+'Estimación de Tamaño'!M162</f>
        <v>0</v>
      </c>
      <c r="F162" s="20">
        <v>1</v>
      </c>
      <c r="G162" s="20">
        <v>1</v>
      </c>
      <c r="H162" s="63">
        <f t="shared" si="2"/>
        <v>0</v>
      </c>
      <c r="I162" s="17"/>
      <c r="J162" s="133"/>
    </row>
    <row r="163" spans="2:10" ht="15.75" customHeight="1" x14ac:dyDescent="0.15">
      <c r="B163" s="62">
        <f>+'Estimación de Tamaño'!B163</f>
        <v>0</v>
      </c>
      <c r="C163" s="26">
        <f>+'Estimación de Tamaño'!C163</f>
        <v>0</v>
      </c>
      <c r="D163" s="26"/>
      <c r="E163" s="20">
        <f>+'Estimación de Tamaño'!M163</f>
        <v>0</v>
      </c>
      <c r="F163" s="20">
        <v>1</v>
      </c>
      <c r="G163" s="20">
        <v>1</v>
      </c>
      <c r="H163" s="63">
        <f t="shared" si="2"/>
        <v>0</v>
      </c>
      <c r="I163" s="17"/>
      <c r="J163" s="133"/>
    </row>
    <row r="164" spans="2:10" ht="15.75" customHeight="1" x14ac:dyDescent="0.15">
      <c r="B164" s="62">
        <f>+'Estimación de Tamaño'!B164</f>
        <v>0</v>
      </c>
      <c r="C164" s="26">
        <f>+'Estimación de Tamaño'!C164</f>
        <v>0</v>
      </c>
      <c r="D164" s="26"/>
      <c r="E164" s="20">
        <f>+'Estimación de Tamaño'!M164</f>
        <v>0</v>
      </c>
      <c r="F164" s="20">
        <v>1</v>
      </c>
      <c r="G164" s="20">
        <v>1</v>
      </c>
      <c r="H164" s="63">
        <f t="shared" si="2"/>
        <v>0</v>
      </c>
      <c r="I164" s="17"/>
      <c r="J164" s="133"/>
    </row>
    <row r="165" spans="2:10" ht="15.75" customHeight="1" x14ac:dyDescent="0.15">
      <c r="B165" s="62">
        <f>+'Estimación de Tamaño'!B165</f>
        <v>0</v>
      </c>
      <c r="C165" s="26">
        <f>+'Estimación de Tamaño'!C165</f>
        <v>0</v>
      </c>
      <c r="D165" s="26"/>
      <c r="E165" s="20">
        <f>+'Estimación de Tamaño'!M165</f>
        <v>0</v>
      </c>
      <c r="F165" s="20">
        <v>1</v>
      </c>
      <c r="G165" s="20">
        <v>1</v>
      </c>
      <c r="H165" s="63">
        <f t="shared" si="2"/>
        <v>0</v>
      </c>
      <c r="I165" s="17"/>
      <c r="J165" s="133"/>
    </row>
    <row r="166" spans="2:10" ht="15.75" customHeight="1" x14ac:dyDescent="0.15">
      <c r="B166" s="62">
        <f>+'Estimación de Tamaño'!B166</f>
        <v>0</v>
      </c>
      <c r="C166" s="26">
        <f>+'Estimación de Tamaño'!C166</f>
        <v>0</v>
      </c>
      <c r="D166" s="26"/>
      <c r="E166" s="20">
        <f>+'Estimación de Tamaño'!M166</f>
        <v>0</v>
      </c>
      <c r="F166" s="20">
        <v>1</v>
      </c>
      <c r="G166" s="20">
        <v>1</v>
      </c>
      <c r="H166" s="63">
        <f t="shared" si="2"/>
        <v>0</v>
      </c>
      <c r="I166" s="17"/>
      <c r="J166" s="133"/>
    </row>
    <row r="167" spans="2:10" ht="15.75" customHeight="1" x14ac:dyDescent="0.15">
      <c r="B167" s="62">
        <f>+'Estimación de Tamaño'!B167</f>
        <v>0</v>
      </c>
      <c r="C167" s="26">
        <f>+'Estimación de Tamaño'!C167</f>
        <v>0</v>
      </c>
      <c r="D167" s="26"/>
      <c r="E167" s="20">
        <f>+'Estimación de Tamaño'!M167</f>
        <v>0</v>
      </c>
      <c r="F167" s="20">
        <v>1</v>
      </c>
      <c r="G167" s="20">
        <v>1</v>
      </c>
      <c r="H167" s="63">
        <f t="shared" si="2"/>
        <v>0</v>
      </c>
      <c r="I167" s="17"/>
      <c r="J167" s="133"/>
    </row>
    <row r="168" spans="2:10" ht="15.75" customHeight="1" x14ac:dyDescent="0.15">
      <c r="B168" s="62">
        <f>+'Estimación de Tamaño'!B168</f>
        <v>0</v>
      </c>
      <c r="C168" s="26">
        <f>+'Estimación de Tamaño'!C168</f>
        <v>0</v>
      </c>
      <c r="D168" s="26"/>
      <c r="E168" s="20">
        <f>+'Estimación de Tamaño'!M168</f>
        <v>0</v>
      </c>
      <c r="F168" s="20">
        <v>1</v>
      </c>
      <c r="G168" s="20">
        <v>1</v>
      </c>
      <c r="H168" s="63">
        <f t="shared" si="2"/>
        <v>0</v>
      </c>
      <c r="I168" s="17"/>
      <c r="J168" s="133"/>
    </row>
    <row r="169" spans="2:10" ht="15.75" customHeight="1" x14ac:dyDescent="0.15">
      <c r="B169" s="62">
        <f>+'Estimación de Tamaño'!B169</f>
        <v>0</v>
      </c>
      <c r="C169" s="26">
        <f>+'Estimación de Tamaño'!C169</f>
        <v>0</v>
      </c>
      <c r="D169" s="26"/>
      <c r="E169" s="20">
        <f>+'Estimación de Tamaño'!M169</f>
        <v>0</v>
      </c>
      <c r="F169" s="20">
        <v>1</v>
      </c>
      <c r="G169" s="20">
        <v>1</v>
      </c>
      <c r="H169" s="63">
        <f t="shared" si="2"/>
        <v>0</v>
      </c>
      <c r="I169" s="17"/>
      <c r="J169" s="133"/>
    </row>
    <row r="170" spans="2:10" ht="15.75" customHeight="1" x14ac:dyDescent="0.15">
      <c r="B170" s="62">
        <f>+'Estimación de Tamaño'!B170</f>
        <v>0</v>
      </c>
      <c r="C170" s="26">
        <f>+'Estimación de Tamaño'!C170</f>
        <v>0</v>
      </c>
      <c r="D170" s="26"/>
      <c r="E170" s="20">
        <f>+'Estimación de Tamaño'!M170</f>
        <v>0</v>
      </c>
      <c r="F170" s="20">
        <v>1</v>
      </c>
      <c r="G170" s="20">
        <v>1</v>
      </c>
      <c r="H170" s="63">
        <f t="shared" si="2"/>
        <v>0</v>
      </c>
      <c r="I170" s="17"/>
      <c r="J170" s="133"/>
    </row>
    <row r="171" spans="2:10" ht="15.75" customHeight="1" x14ac:dyDescent="0.15">
      <c r="B171" s="62">
        <f>+'Estimación de Tamaño'!B171</f>
        <v>0</v>
      </c>
      <c r="C171" s="26">
        <f>+'Estimación de Tamaño'!C171</f>
        <v>0</v>
      </c>
      <c r="D171" s="26"/>
      <c r="E171" s="20">
        <f>+'Estimación de Tamaño'!M171</f>
        <v>0</v>
      </c>
      <c r="F171" s="20">
        <v>1</v>
      </c>
      <c r="G171" s="20">
        <v>1</v>
      </c>
      <c r="H171" s="63">
        <f t="shared" si="2"/>
        <v>0</v>
      </c>
      <c r="I171" s="17"/>
      <c r="J171" s="133"/>
    </row>
    <row r="172" spans="2:10" ht="15.75" customHeight="1" x14ac:dyDescent="0.15">
      <c r="B172" s="62">
        <f>+'Estimación de Tamaño'!B172</f>
        <v>0</v>
      </c>
      <c r="C172" s="26">
        <f>+'Estimación de Tamaño'!C172</f>
        <v>0</v>
      </c>
      <c r="D172" s="26"/>
      <c r="E172" s="20">
        <f>+'Estimación de Tamaño'!M172</f>
        <v>0</v>
      </c>
      <c r="F172" s="20">
        <v>1</v>
      </c>
      <c r="G172" s="20">
        <v>1</v>
      </c>
      <c r="H172" s="63">
        <f t="shared" si="2"/>
        <v>0</v>
      </c>
      <c r="I172" s="17"/>
      <c r="J172" s="133"/>
    </row>
    <row r="173" spans="2:10" ht="15.75" customHeight="1" x14ac:dyDescent="0.15">
      <c r="B173" s="62">
        <f>+'Estimación de Tamaño'!B173</f>
        <v>0</v>
      </c>
      <c r="C173" s="26">
        <f>+'Estimación de Tamaño'!C173</f>
        <v>0</v>
      </c>
      <c r="D173" s="26"/>
      <c r="E173" s="20">
        <f>+'Estimación de Tamaño'!M173</f>
        <v>0</v>
      </c>
      <c r="F173" s="20">
        <v>1</v>
      </c>
      <c r="G173" s="20">
        <v>1</v>
      </c>
      <c r="H173" s="63">
        <f t="shared" si="2"/>
        <v>0</v>
      </c>
      <c r="I173" s="17"/>
      <c r="J173" s="133"/>
    </row>
    <row r="174" spans="2:10" ht="15.75" customHeight="1" x14ac:dyDescent="0.15">
      <c r="B174" s="62">
        <f>+'Estimación de Tamaño'!B174</f>
        <v>0</v>
      </c>
      <c r="C174" s="26">
        <f>+'Estimación de Tamaño'!C174</f>
        <v>0</v>
      </c>
      <c r="D174" s="26"/>
      <c r="E174" s="20">
        <f>+'Estimación de Tamaño'!M174</f>
        <v>0</v>
      </c>
      <c r="F174" s="20">
        <v>1</v>
      </c>
      <c r="G174" s="20">
        <v>1</v>
      </c>
      <c r="H174" s="63">
        <f t="shared" si="2"/>
        <v>0</v>
      </c>
      <c r="I174" s="17"/>
      <c r="J174" s="133"/>
    </row>
    <row r="175" spans="2:10" ht="15.75" customHeight="1" x14ac:dyDescent="0.15">
      <c r="B175" s="62">
        <f>+'Estimación de Tamaño'!B175</f>
        <v>0</v>
      </c>
      <c r="C175" s="26">
        <f>+'Estimación de Tamaño'!C175</f>
        <v>0</v>
      </c>
      <c r="D175" s="26"/>
      <c r="E175" s="20">
        <f>+'Estimación de Tamaño'!M175</f>
        <v>0</v>
      </c>
      <c r="F175" s="20">
        <v>1</v>
      </c>
      <c r="G175" s="20">
        <v>1</v>
      </c>
      <c r="H175" s="63">
        <f t="shared" si="2"/>
        <v>0</v>
      </c>
      <c r="I175" s="17"/>
      <c r="J175" s="133"/>
    </row>
    <row r="176" spans="2:10" ht="15.75" customHeight="1" x14ac:dyDescent="0.15">
      <c r="B176" s="62">
        <f>+'Estimación de Tamaño'!B176</f>
        <v>0</v>
      </c>
      <c r="C176" s="26">
        <f>+'Estimación de Tamaño'!C176</f>
        <v>0</v>
      </c>
      <c r="D176" s="26"/>
      <c r="E176" s="20">
        <f>+'Estimación de Tamaño'!M176</f>
        <v>0</v>
      </c>
      <c r="F176" s="20">
        <v>1</v>
      </c>
      <c r="G176" s="20">
        <v>1</v>
      </c>
      <c r="H176" s="63">
        <f t="shared" si="2"/>
        <v>0</v>
      </c>
      <c r="I176" s="17"/>
      <c r="J176" s="133"/>
    </row>
    <row r="177" spans="2:10" ht="15.75" customHeight="1" x14ac:dyDescent="0.15">
      <c r="B177" s="62">
        <f>+'Estimación de Tamaño'!B177</f>
        <v>0</v>
      </c>
      <c r="C177" s="26">
        <f>+'Estimación de Tamaño'!C177</f>
        <v>0</v>
      </c>
      <c r="D177" s="26"/>
      <c r="E177" s="20">
        <f>+'Estimación de Tamaño'!M177</f>
        <v>0</v>
      </c>
      <c r="F177" s="20">
        <v>1</v>
      </c>
      <c r="G177" s="20">
        <v>1</v>
      </c>
      <c r="H177" s="63">
        <f t="shared" si="2"/>
        <v>0</v>
      </c>
      <c r="I177" s="17"/>
      <c r="J177" s="133"/>
    </row>
    <row r="178" spans="2:10" ht="15.75" customHeight="1" x14ac:dyDescent="0.15">
      <c r="B178" s="62">
        <f>+'Estimación de Tamaño'!B178</f>
        <v>0</v>
      </c>
      <c r="C178" s="26">
        <f>+'Estimación de Tamaño'!C178</f>
        <v>0</v>
      </c>
      <c r="D178" s="26"/>
      <c r="E178" s="20">
        <f>+'Estimación de Tamaño'!M178</f>
        <v>0</v>
      </c>
      <c r="F178" s="20">
        <v>1</v>
      </c>
      <c r="G178" s="20">
        <v>1</v>
      </c>
      <c r="H178" s="63">
        <f t="shared" si="2"/>
        <v>0</v>
      </c>
      <c r="I178" s="17"/>
      <c r="J178" s="133"/>
    </row>
    <row r="179" spans="2:10" ht="15.75" customHeight="1" x14ac:dyDescent="0.15">
      <c r="B179" s="62">
        <f>+'Estimación de Tamaño'!B179</f>
        <v>0</v>
      </c>
      <c r="C179" s="26">
        <f>+'Estimación de Tamaño'!C179</f>
        <v>0</v>
      </c>
      <c r="D179" s="26"/>
      <c r="E179" s="20">
        <f>+'Estimación de Tamaño'!M179</f>
        <v>0</v>
      </c>
      <c r="F179" s="20">
        <v>1</v>
      </c>
      <c r="G179" s="20">
        <v>1</v>
      </c>
      <c r="H179" s="63">
        <f t="shared" si="2"/>
        <v>0</v>
      </c>
      <c r="I179" s="17"/>
      <c r="J179" s="133"/>
    </row>
    <row r="180" spans="2:10" ht="15.75" customHeight="1" x14ac:dyDescent="0.15">
      <c r="B180" s="62">
        <f>+'Estimación de Tamaño'!B180</f>
        <v>0</v>
      </c>
      <c r="C180" s="26">
        <f>+'Estimación de Tamaño'!C180</f>
        <v>0</v>
      </c>
      <c r="D180" s="26"/>
      <c r="E180" s="20">
        <f>+'Estimación de Tamaño'!M180</f>
        <v>0</v>
      </c>
      <c r="F180" s="20">
        <v>1</v>
      </c>
      <c r="G180" s="20">
        <v>1</v>
      </c>
      <c r="H180" s="63">
        <f t="shared" si="2"/>
        <v>0</v>
      </c>
      <c r="I180" s="17"/>
      <c r="J180" s="133"/>
    </row>
    <row r="181" spans="2:10" ht="15.75" customHeight="1" x14ac:dyDescent="0.15">
      <c r="B181" s="62">
        <f>+'Estimación de Tamaño'!B181</f>
        <v>0</v>
      </c>
      <c r="C181" s="26">
        <f>+'Estimación de Tamaño'!C181</f>
        <v>0</v>
      </c>
      <c r="D181" s="26"/>
      <c r="E181" s="20">
        <f>+'Estimación de Tamaño'!M181</f>
        <v>0</v>
      </c>
      <c r="F181" s="20">
        <v>1</v>
      </c>
      <c r="G181" s="20">
        <v>1</v>
      </c>
      <c r="H181" s="63">
        <f t="shared" si="2"/>
        <v>0</v>
      </c>
      <c r="I181" s="17"/>
      <c r="J181" s="133"/>
    </row>
    <row r="182" spans="2:10" ht="15.75" customHeight="1" x14ac:dyDescent="0.15">
      <c r="B182" s="62">
        <f>+'Estimación de Tamaño'!B182</f>
        <v>0</v>
      </c>
      <c r="C182" s="26">
        <f>+'Estimación de Tamaño'!C182</f>
        <v>0</v>
      </c>
      <c r="D182" s="26"/>
      <c r="E182" s="20">
        <f>+'Estimación de Tamaño'!M182</f>
        <v>0</v>
      </c>
      <c r="F182" s="20">
        <v>1</v>
      </c>
      <c r="G182" s="20">
        <v>1</v>
      </c>
      <c r="H182" s="63">
        <f t="shared" si="2"/>
        <v>0</v>
      </c>
      <c r="I182" s="17"/>
      <c r="J182" s="133"/>
    </row>
    <row r="183" spans="2:10" ht="15.75" customHeight="1" x14ac:dyDescent="0.15">
      <c r="B183" s="62">
        <f>+'Estimación de Tamaño'!B183</f>
        <v>0</v>
      </c>
      <c r="C183" s="26">
        <f>+'Estimación de Tamaño'!C183</f>
        <v>0</v>
      </c>
      <c r="D183" s="26"/>
      <c r="E183" s="20">
        <f>+'Estimación de Tamaño'!M183</f>
        <v>0</v>
      </c>
      <c r="F183" s="20">
        <v>1</v>
      </c>
      <c r="G183" s="20">
        <v>1</v>
      </c>
      <c r="H183" s="63">
        <f t="shared" si="2"/>
        <v>0</v>
      </c>
      <c r="I183" s="17"/>
      <c r="J183" s="133"/>
    </row>
    <row r="184" spans="2:10" ht="15.75" customHeight="1" x14ac:dyDescent="0.15">
      <c r="B184" s="62">
        <f>+'Estimación de Tamaño'!B184</f>
        <v>0</v>
      </c>
      <c r="C184" s="26">
        <f>+'Estimación de Tamaño'!C184</f>
        <v>0</v>
      </c>
      <c r="D184" s="26"/>
      <c r="E184" s="20">
        <f>+'Estimación de Tamaño'!M184</f>
        <v>0</v>
      </c>
      <c r="F184" s="20">
        <v>1</v>
      </c>
      <c r="G184" s="20">
        <v>1</v>
      </c>
      <c r="H184" s="63">
        <f t="shared" si="2"/>
        <v>0</v>
      </c>
      <c r="I184" s="17"/>
      <c r="J184" s="133"/>
    </row>
    <row r="185" spans="2:10" ht="15.75" customHeight="1" x14ac:dyDescent="0.15">
      <c r="B185" s="62">
        <f>+'Estimación de Tamaño'!B185</f>
        <v>0</v>
      </c>
      <c r="C185" s="26">
        <f>+'Estimación de Tamaño'!C185</f>
        <v>0</v>
      </c>
      <c r="D185" s="26"/>
      <c r="E185" s="20">
        <f>+'Estimación de Tamaño'!M185</f>
        <v>0</v>
      </c>
      <c r="F185" s="20">
        <v>1</v>
      </c>
      <c r="G185" s="20">
        <v>1</v>
      </c>
      <c r="H185" s="63">
        <f t="shared" si="2"/>
        <v>0</v>
      </c>
      <c r="I185" s="17"/>
      <c r="J185" s="133"/>
    </row>
    <row r="186" spans="2:10" ht="15.75" customHeight="1" x14ac:dyDescent="0.15">
      <c r="B186" s="62">
        <f>+'Estimación de Tamaño'!B186</f>
        <v>0</v>
      </c>
      <c r="C186" s="26">
        <f>+'Estimación de Tamaño'!C186</f>
        <v>0</v>
      </c>
      <c r="D186" s="26"/>
      <c r="E186" s="20">
        <f>+'Estimación de Tamaño'!M186</f>
        <v>0</v>
      </c>
      <c r="F186" s="20">
        <v>1</v>
      </c>
      <c r="G186" s="20">
        <v>1</v>
      </c>
      <c r="H186" s="63">
        <f t="shared" si="2"/>
        <v>0</v>
      </c>
      <c r="I186" s="17"/>
      <c r="J186" s="133"/>
    </row>
    <row r="187" spans="2:10" ht="15.75" customHeight="1" x14ac:dyDescent="0.15">
      <c r="B187" s="62">
        <f>+'Estimación de Tamaño'!B187</f>
        <v>0</v>
      </c>
      <c r="C187" s="26">
        <f>+'Estimación de Tamaño'!C187</f>
        <v>0</v>
      </c>
      <c r="D187" s="26"/>
      <c r="E187" s="20">
        <f>+'Estimación de Tamaño'!M187</f>
        <v>0</v>
      </c>
      <c r="F187" s="20">
        <v>1</v>
      </c>
      <c r="G187" s="20">
        <v>1</v>
      </c>
      <c r="H187" s="63">
        <f t="shared" si="2"/>
        <v>0</v>
      </c>
      <c r="I187" s="17"/>
      <c r="J187" s="133"/>
    </row>
    <row r="188" spans="2:10" ht="15.75" customHeight="1" x14ac:dyDescent="0.15">
      <c r="B188" s="62">
        <f>+'Estimación de Tamaño'!B188</f>
        <v>0</v>
      </c>
      <c r="C188" s="26">
        <f>+'Estimación de Tamaño'!C188</f>
        <v>0</v>
      </c>
      <c r="D188" s="26"/>
      <c r="E188" s="20">
        <f>+'Estimación de Tamaño'!M188</f>
        <v>0</v>
      </c>
      <c r="F188" s="20">
        <v>1</v>
      </c>
      <c r="G188" s="20">
        <v>1</v>
      </c>
      <c r="H188" s="63">
        <f t="shared" si="2"/>
        <v>0</v>
      </c>
      <c r="I188" s="17"/>
      <c r="J188" s="133"/>
    </row>
    <row r="189" spans="2:10" ht="15.75" customHeight="1" x14ac:dyDescent="0.15">
      <c r="B189" s="62">
        <f>+'Estimación de Tamaño'!B189</f>
        <v>0</v>
      </c>
      <c r="C189" s="26">
        <f>+'Estimación de Tamaño'!C189</f>
        <v>0</v>
      </c>
      <c r="D189" s="26"/>
      <c r="E189" s="20">
        <f>+'Estimación de Tamaño'!M189</f>
        <v>0</v>
      </c>
      <c r="F189" s="20">
        <v>1</v>
      </c>
      <c r="G189" s="20">
        <v>1</v>
      </c>
      <c r="H189" s="63">
        <f t="shared" si="2"/>
        <v>0</v>
      </c>
      <c r="I189" s="17"/>
      <c r="J189" s="133"/>
    </row>
    <row r="190" spans="2:10" ht="15.75" customHeight="1" x14ac:dyDescent="0.15">
      <c r="B190" s="62">
        <f>+'Estimación de Tamaño'!B190</f>
        <v>0</v>
      </c>
      <c r="C190" s="26">
        <f>+'Estimación de Tamaño'!C190</f>
        <v>0</v>
      </c>
      <c r="D190" s="26"/>
      <c r="E190" s="20">
        <f>+'Estimación de Tamaño'!M190</f>
        <v>0</v>
      </c>
      <c r="F190" s="20">
        <v>1</v>
      </c>
      <c r="G190" s="20">
        <v>1</v>
      </c>
      <c r="H190" s="63">
        <f t="shared" si="2"/>
        <v>0</v>
      </c>
      <c r="I190" s="17"/>
      <c r="J190" s="133"/>
    </row>
    <row r="191" spans="2:10" ht="15.75" customHeight="1" x14ac:dyDescent="0.15">
      <c r="B191" s="62">
        <f>+'Estimación de Tamaño'!B191</f>
        <v>0</v>
      </c>
      <c r="C191" s="26">
        <f>+'Estimación de Tamaño'!C191</f>
        <v>0</v>
      </c>
      <c r="D191" s="26"/>
      <c r="E191" s="20">
        <f>+'Estimación de Tamaño'!M191</f>
        <v>0</v>
      </c>
      <c r="F191" s="20">
        <v>1</v>
      </c>
      <c r="G191" s="20">
        <v>1</v>
      </c>
      <c r="H191" s="63">
        <f t="shared" si="2"/>
        <v>0</v>
      </c>
      <c r="I191" s="17"/>
      <c r="J191" s="133"/>
    </row>
    <row r="192" spans="2:10" ht="15.75" customHeight="1" x14ac:dyDescent="0.15">
      <c r="B192" s="62">
        <f>+'Estimación de Tamaño'!B192</f>
        <v>0</v>
      </c>
      <c r="C192" s="26">
        <f>+'Estimación de Tamaño'!C192</f>
        <v>0</v>
      </c>
      <c r="D192" s="26"/>
      <c r="E192" s="20">
        <f>+'Estimación de Tamaño'!M192</f>
        <v>0</v>
      </c>
      <c r="F192" s="20">
        <v>1</v>
      </c>
      <c r="G192" s="20">
        <v>1</v>
      </c>
      <c r="H192" s="63">
        <f t="shared" si="2"/>
        <v>0</v>
      </c>
      <c r="I192" s="17"/>
      <c r="J192" s="133"/>
    </row>
    <row r="193" spans="2:10" ht="15.75" customHeight="1" x14ac:dyDescent="0.15">
      <c r="B193" s="62">
        <f>+'Estimación de Tamaño'!B193</f>
        <v>0</v>
      </c>
      <c r="C193" s="26">
        <f>+'Estimación de Tamaño'!C193</f>
        <v>0</v>
      </c>
      <c r="D193" s="26"/>
      <c r="E193" s="20">
        <f>+'Estimación de Tamaño'!M193</f>
        <v>0</v>
      </c>
      <c r="F193" s="20">
        <v>1</v>
      </c>
      <c r="G193" s="20">
        <v>1</v>
      </c>
      <c r="H193" s="63">
        <f t="shared" si="2"/>
        <v>0</v>
      </c>
      <c r="I193" s="17"/>
      <c r="J193" s="133"/>
    </row>
    <row r="194" spans="2:10" ht="15.75" customHeight="1" x14ac:dyDescent="0.15">
      <c r="B194" s="62">
        <f>+'Estimación de Tamaño'!B194</f>
        <v>0</v>
      </c>
      <c r="C194" s="26">
        <f>+'Estimación de Tamaño'!C194</f>
        <v>0</v>
      </c>
      <c r="D194" s="26"/>
      <c r="E194" s="20">
        <f>+'Estimación de Tamaño'!M194</f>
        <v>0</v>
      </c>
      <c r="F194" s="20">
        <v>1</v>
      </c>
      <c r="G194" s="20">
        <v>1</v>
      </c>
      <c r="H194" s="63">
        <f t="shared" si="2"/>
        <v>0</v>
      </c>
      <c r="I194" s="17"/>
      <c r="J194" s="133"/>
    </row>
    <row r="195" spans="2:10" ht="15.75" customHeight="1" x14ac:dyDescent="0.15">
      <c r="B195" s="62">
        <f>+'Estimación de Tamaño'!B195</f>
        <v>0</v>
      </c>
      <c r="C195" s="26">
        <f>+'Estimación de Tamaño'!C195</f>
        <v>0</v>
      </c>
      <c r="D195" s="26"/>
      <c r="E195" s="20">
        <f>+'Estimación de Tamaño'!M195</f>
        <v>0</v>
      </c>
      <c r="F195" s="20">
        <v>1</v>
      </c>
      <c r="G195" s="20">
        <v>1</v>
      </c>
      <c r="H195" s="63">
        <f t="shared" si="2"/>
        <v>0</v>
      </c>
      <c r="I195" s="17"/>
      <c r="J195" s="133"/>
    </row>
    <row r="196" spans="2:10" ht="15.75" customHeight="1" x14ac:dyDescent="0.15">
      <c r="B196" s="62">
        <f>+'Estimación de Tamaño'!B196</f>
        <v>0</v>
      </c>
      <c r="C196" s="26">
        <f>+'Estimación de Tamaño'!C196</f>
        <v>0</v>
      </c>
      <c r="D196" s="26"/>
      <c r="E196" s="20">
        <f>+'Estimación de Tamaño'!M196</f>
        <v>0</v>
      </c>
      <c r="F196" s="20">
        <v>1</v>
      </c>
      <c r="G196" s="20">
        <v>1</v>
      </c>
      <c r="H196" s="63">
        <f t="shared" si="2"/>
        <v>0</v>
      </c>
      <c r="I196" s="17"/>
      <c r="J196" s="133"/>
    </row>
    <row r="197" spans="2:10" ht="15.75" customHeight="1" x14ac:dyDescent="0.15">
      <c r="B197" s="62">
        <f>+'Estimación de Tamaño'!B197</f>
        <v>0</v>
      </c>
      <c r="C197" s="26">
        <f>+'Estimación de Tamaño'!C197</f>
        <v>0</v>
      </c>
      <c r="D197" s="26"/>
      <c r="E197" s="20">
        <f>+'Estimación de Tamaño'!M197</f>
        <v>0</v>
      </c>
      <c r="F197" s="20">
        <v>1</v>
      </c>
      <c r="G197" s="20">
        <v>1</v>
      </c>
      <c r="H197" s="63">
        <f t="shared" si="2"/>
        <v>0</v>
      </c>
      <c r="I197" s="17"/>
      <c r="J197" s="133"/>
    </row>
    <row r="198" spans="2:10" ht="15.75" customHeight="1" x14ac:dyDescent="0.15">
      <c r="B198" s="62">
        <f>+'Estimación de Tamaño'!B198</f>
        <v>0</v>
      </c>
      <c r="C198" s="26">
        <f>+'Estimación de Tamaño'!C198</f>
        <v>0</v>
      </c>
      <c r="D198" s="26"/>
      <c r="E198" s="20">
        <f>+'Estimación de Tamaño'!M198</f>
        <v>0</v>
      </c>
      <c r="F198" s="20">
        <v>1</v>
      </c>
      <c r="G198" s="20">
        <v>1</v>
      </c>
      <c r="H198" s="63">
        <f t="shared" ref="H198:H215" si="3">E198*F198*G198</f>
        <v>0</v>
      </c>
      <c r="I198" s="17"/>
      <c r="J198" s="133"/>
    </row>
    <row r="199" spans="2:10" ht="15.75" customHeight="1" x14ac:dyDescent="0.15">
      <c r="B199" s="62">
        <f>+'Estimación de Tamaño'!B199</f>
        <v>0</v>
      </c>
      <c r="C199" s="26">
        <f>+'Estimación de Tamaño'!C199</f>
        <v>0</v>
      </c>
      <c r="D199" s="26"/>
      <c r="E199" s="20">
        <f>+'Estimación de Tamaño'!M199</f>
        <v>0</v>
      </c>
      <c r="F199" s="20">
        <v>1</v>
      </c>
      <c r="G199" s="20">
        <v>1</v>
      </c>
      <c r="H199" s="63">
        <f t="shared" si="3"/>
        <v>0</v>
      </c>
      <c r="I199" s="17"/>
      <c r="J199" s="133"/>
    </row>
    <row r="200" spans="2:10" ht="15.75" customHeight="1" x14ac:dyDescent="0.15">
      <c r="B200" s="62">
        <f>+'Estimación de Tamaño'!B200</f>
        <v>0</v>
      </c>
      <c r="C200" s="26">
        <f>+'Estimación de Tamaño'!C200</f>
        <v>0</v>
      </c>
      <c r="D200" s="26"/>
      <c r="E200" s="20">
        <f>+'Estimación de Tamaño'!M200</f>
        <v>0</v>
      </c>
      <c r="F200" s="20">
        <v>1</v>
      </c>
      <c r="G200" s="20">
        <v>1</v>
      </c>
      <c r="H200" s="63">
        <f t="shared" si="3"/>
        <v>0</v>
      </c>
      <c r="I200" s="17"/>
      <c r="J200" s="133"/>
    </row>
    <row r="201" spans="2:10" ht="15.75" customHeight="1" x14ac:dyDescent="0.15">
      <c r="B201" s="62">
        <f>+'Estimación de Tamaño'!B201</f>
        <v>0</v>
      </c>
      <c r="C201" s="26">
        <f>+'Estimación de Tamaño'!C201</f>
        <v>0</v>
      </c>
      <c r="D201" s="26"/>
      <c r="E201" s="20">
        <f>+'Estimación de Tamaño'!M201</f>
        <v>0</v>
      </c>
      <c r="F201" s="20">
        <v>1</v>
      </c>
      <c r="G201" s="20">
        <v>1</v>
      </c>
      <c r="H201" s="63">
        <f t="shared" si="3"/>
        <v>0</v>
      </c>
      <c r="I201" s="17"/>
      <c r="J201" s="133"/>
    </row>
    <row r="202" spans="2:10" ht="15.75" customHeight="1" x14ac:dyDescent="0.15">
      <c r="B202" s="62">
        <f>+'Estimación de Tamaño'!B202</f>
        <v>0</v>
      </c>
      <c r="C202" s="26">
        <f>+'Estimación de Tamaño'!C202</f>
        <v>0</v>
      </c>
      <c r="D202" s="26"/>
      <c r="E202" s="20">
        <f>+'Estimación de Tamaño'!M202</f>
        <v>0</v>
      </c>
      <c r="F202" s="20">
        <v>1</v>
      </c>
      <c r="G202" s="20">
        <v>1</v>
      </c>
      <c r="H202" s="63">
        <f t="shared" si="3"/>
        <v>0</v>
      </c>
      <c r="I202" s="17"/>
      <c r="J202" s="133"/>
    </row>
    <row r="203" spans="2:10" ht="15.75" customHeight="1" x14ac:dyDescent="0.15">
      <c r="B203" s="62">
        <f>+'Estimación de Tamaño'!B203</f>
        <v>0</v>
      </c>
      <c r="C203" s="26">
        <f>+'Estimación de Tamaño'!C203</f>
        <v>0</v>
      </c>
      <c r="D203" s="26"/>
      <c r="E203" s="20">
        <f>+'Estimación de Tamaño'!M203</f>
        <v>0</v>
      </c>
      <c r="F203" s="20">
        <v>1</v>
      </c>
      <c r="G203" s="20">
        <v>1</v>
      </c>
      <c r="H203" s="63">
        <f t="shared" si="3"/>
        <v>0</v>
      </c>
      <c r="I203" s="17"/>
      <c r="J203" s="133"/>
    </row>
    <row r="204" spans="2:10" ht="15.75" customHeight="1" x14ac:dyDescent="0.15">
      <c r="B204" s="62">
        <f>+'Estimación de Tamaño'!B204</f>
        <v>0</v>
      </c>
      <c r="C204" s="26">
        <f>+'Estimación de Tamaño'!C204</f>
        <v>0</v>
      </c>
      <c r="D204" s="26"/>
      <c r="E204" s="20">
        <f>+'Estimación de Tamaño'!M204</f>
        <v>0</v>
      </c>
      <c r="F204" s="20">
        <v>1</v>
      </c>
      <c r="G204" s="20">
        <v>1</v>
      </c>
      <c r="H204" s="63">
        <f t="shared" si="3"/>
        <v>0</v>
      </c>
      <c r="I204" s="17"/>
      <c r="J204" s="133"/>
    </row>
    <row r="205" spans="2:10" ht="15.75" customHeight="1" x14ac:dyDescent="0.15">
      <c r="B205" s="62">
        <f>+'Estimación de Tamaño'!B205</f>
        <v>0</v>
      </c>
      <c r="C205" s="26">
        <f>+'Estimación de Tamaño'!C205</f>
        <v>0</v>
      </c>
      <c r="D205" s="26"/>
      <c r="E205" s="20">
        <f>+'Estimación de Tamaño'!M205</f>
        <v>0</v>
      </c>
      <c r="F205" s="20">
        <v>1</v>
      </c>
      <c r="G205" s="20">
        <v>1</v>
      </c>
      <c r="H205" s="63">
        <f t="shared" si="3"/>
        <v>0</v>
      </c>
      <c r="I205" s="17"/>
      <c r="J205" s="133"/>
    </row>
    <row r="206" spans="2:10" ht="15.75" customHeight="1" x14ac:dyDescent="0.15">
      <c r="B206" s="62">
        <f>+'Estimación de Tamaño'!B206</f>
        <v>0</v>
      </c>
      <c r="C206" s="26">
        <f>+'Estimación de Tamaño'!C206</f>
        <v>0</v>
      </c>
      <c r="D206" s="26"/>
      <c r="E206" s="20">
        <f>+'Estimación de Tamaño'!M206</f>
        <v>0</v>
      </c>
      <c r="F206" s="20">
        <v>1</v>
      </c>
      <c r="G206" s="20">
        <v>1</v>
      </c>
      <c r="H206" s="63">
        <f t="shared" si="3"/>
        <v>0</v>
      </c>
      <c r="I206" s="17"/>
      <c r="J206" s="133"/>
    </row>
    <row r="207" spans="2:10" ht="15.75" customHeight="1" x14ac:dyDescent="0.15">
      <c r="B207" s="62">
        <f>+'Estimación de Tamaño'!B207</f>
        <v>0</v>
      </c>
      <c r="C207" s="26">
        <f>+'Estimación de Tamaño'!C207</f>
        <v>0</v>
      </c>
      <c r="D207" s="26"/>
      <c r="E207" s="20">
        <f>+'Estimación de Tamaño'!M207</f>
        <v>0</v>
      </c>
      <c r="F207" s="20">
        <v>1</v>
      </c>
      <c r="G207" s="20">
        <v>1</v>
      </c>
      <c r="H207" s="63">
        <f t="shared" si="3"/>
        <v>0</v>
      </c>
      <c r="I207" s="17"/>
      <c r="J207" s="133"/>
    </row>
    <row r="208" spans="2:10" ht="15.75" customHeight="1" x14ac:dyDescent="0.15">
      <c r="B208" s="62">
        <f>+'Estimación de Tamaño'!B208</f>
        <v>0</v>
      </c>
      <c r="C208" s="26">
        <f>+'Estimación de Tamaño'!C208</f>
        <v>0</v>
      </c>
      <c r="D208" s="26"/>
      <c r="E208" s="20">
        <f>+'Estimación de Tamaño'!M208</f>
        <v>0</v>
      </c>
      <c r="F208" s="20">
        <v>1</v>
      </c>
      <c r="G208" s="20">
        <v>1</v>
      </c>
      <c r="H208" s="63">
        <f t="shared" si="3"/>
        <v>0</v>
      </c>
      <c r="I208" s="17"/>
      <c r="J208" s="133"/>
    </row>
    <row r="209" spans="2:10" ht="15.75" customHeight="1" x14ac:dyDescent="0.15">
      <c r="B209" s="62">
        <f>+'Estimación de Tamaño'!B209</f>
        <v>0</v>
      </c>
      <c r="C209" s="26">
        <f>+'Estimación de Tamaño'!C209</f>
        <v>0</v>
      </c>
      <c r="D209" s="26"/>
      <c r="E209" s="20">
        <f>+'Estimación de Tamaño'!M209</f>
        <v>0</v>
      </c>
      <c r="F209" s="20">
        <v>1</v>
      </c>
      <c r="G209" s="20">
        <v>1</v>
      </c>
      <c r="H209" s="63">
        <f t="shared" si="3"/>
        <v>0</v>
      </c>
      <c r="I209" s="17"/>
      <c r="J209" s="133"/>
    </row>
    <row r="210" spans="2:10" ht="15.75" customHeight="1" x14ac:dyDescent="0.15">
      <c r="B210" s="62">
        <f>+'Estimación de Tamaño'!B210</f>
        <v>0</v>
      </c>
      <c r="C210" s="26">
        <f>+'Estimación de Tamaño'!C210</f>
        <v>0</v>
      </c>
      <c r="D210" s="26"/>
      <c r="E210" s="20">
        <f>+'Estimación de Tamaño'!M210</f>
        <v>0</v>
      </c>
      <c r="F210" s="20">
        <v>1</v>
      </c>
      <c r="G210" s="20">
        <v>1</v>
      </c>
      <c r="H210" s="63">
        <f t="shared" si="3"/>
        <v>0</v>
      </c>
      <c r="I210" s="17"/>
      <c r="J210" s="133"/>
    </row>
    <row r="211" spans="2:10" ht="15.75" customHeight="1" x14ac:dyDescent="0.15">
      <c r="B211" s="62">
        <f>+'Estimación de Tamaño'!B211</f>
        <v>0</v>
      </c>
      <c r="C211" s="26">
        <f>+'Estimación de Tamaño'!C211</f>
        <v>0</v>
      </c>
      <c r="D211" s="26"/>
      <c r="E211" s="20">
        <f>+'Estimación de Tamaño'!M211</f>
        <v>0</v>
      </c>
      <c r="F211" s="20">
        <v>1</v>
      </c>
      <c r="G211" s="20">
        <v>1</v>
      </c>
      <c r="H211" s="63">
        <f t="shared" si="3"/>
        <v>0</v>
      </c>
      <c r="I211" s="17"/>
      <c r="J211" s="133"/>
    </row>
    <row r="212" spans="2:10" ht="15.75" customHeight="1" x14ac:dyDescent="0.15">
      <c r="B212" s="62">
        <f>+'Estimación de Tamaño'!B212</f>
        <v>0</v>
      </c>
      <c r="C212" s="26">
        <f>+'Estimación de Tamaño'!C212</f>
        <v>0</v>
      </c>
      <c r="D212" s="26"/>
      <c r="E212" s="20">
        <f>+'Estimación de Tamaño'!M212</f>
        <v>0</v>
      </c>
      <c r="F212" s="20">
        <v>1</v>
      </c>
      <c r="G212" s="20">
        <v>1</v>
      </c>
      <c r="H212" s="63">
        <f t="shared" si="3"/>
        <v>0</v>
      </c>
      <c r="I212" s="17"/>
      <c r="J212" s="133"/>
    </row>
    <row r="213" spans="2:10" ht="15.75" customHeight="1" x14ac:dyDescent="0.15">
      <c r="B213" s="62">
        <f>+'Estimación de Tamaño'!B213</f>
        <v>0</v>
      </c>
      <c r="C213" s="26">
        <f>+'Estimación de Tamaño'!C213</f>
        <v>0</v>
      </c>
      <c r="D213" s="26"/>
      <c r="E213" s="20">
        <f>+'Estimación de Tamaño'!M213</f>
        <v>0</v>
      </c>
      <c r="F213" s="20">
        <v>1</v>
      </c>
      <c r="G213" s="20">
        <v>1</v>
      </c>
      <c r="H213" s="63">
        <f t="shared" si="3"/>
        <v>0</v>
      </c>
      <c r="I213" s="17"/>
      <c r="J213" s="133"/>
    </row>
    <row r="214" spans="2:10" ht="15.75" customHeight="1" thickBot="1" x14ac:dyDescent="0.2">
      <c r="B214" s="62">
        <f>+'Estimación de Tamaño'!B214</f>
        <v>0</v>
      </c>
      <c r="C214" s="26">
        <f>+'Estimación de Tamaño'!C214</f>
        <v>0</v>
      </c>
      <c r="D214" s="26"/>
      <c r="E214" s="20">
        <f>+'Estimación de Tamaño'!M214</f>
        <v>0</v>
      </c>
      <c r="F214" s="20">
        <v>1</v>
      </c>
      <c r="G214" s="20">
        <v>1</v>
      </c>
      <c r="H214" s="63">
        <f t="shared" si="3"/>
        <v>0</v>
      </c>
      <c r="I214" s="17"/>
      <c r="J214" s="133"/>
    </row>
    <row r="215" spans="2:10" ht="27.75" customHeight="1" thickBot="1" x14ac:dyDescent="0.2">
      <c r="B215" s="127" t="s">
        <v>125</v>
      </c>
      <c r="C215" s="128"/>
      <c r="D215" s="128"/>
      <c r="E215" s="128"/>
      <c r="F215" s="128"/>
      <c r="G215" s="129"/>
      <c r="H215" s="63">
        <f t="shared" si="3"/>
        <v>0</v>
      </c>
      <c r="I215" s="10"/>
    </row>
    <row r="220" spans="2:10" ht="15.75" customHeight="1" x14ac:dyDescent="0.15">
      <c r="I220" s="36"/>
      <c r="J220" s="36"/>
    </row>
    <row r="221" spans="2:10" ht="15.75" customHeight="1" x14ac:dyDescent="0.15">
      <c r="I221" s="37"/>
      <c r="J221" s="37"/>
    </row>
    <row r="222" spans="2:10" ht="15.75" customHeight="1" x14ac:dyDescent="0.15">
      <c r="I222" s="38"/>
      <c r="J222" s="38"/>
    </row>
    <row r="223" spans="2:10" ht="15.75" customHeight="1" x14ac:dyDescent="0.15">
      <c r="I223" s="38"/>
      <c r="J223" s="38"/>
    </row>
    <row r="224" spans="2:10" ht="15.75" customHeight="1" x14ac:dyDescent="0.15">
      <c r="I224" s="38"/>
      <c r="J224" s="38"/>
    </row>
    <row r="225" spans="9:10" ht="15.75" customHeight="1" x14ac:dyDescent="0.15">
      <c r="I225" s="38"/>
      <c r="J225" s="38"/>
    </row>
    <row r="226" spans="9:10" ht="15.75" customHeight="1" x14ac:dyDescent="0.15">
      <c r="I226" s="38"/>
      <c r="J226" s="38"/>
    </row>
    <row r="227" spans="9:10" ht="15.75" customHeight="1" x14ac:dyDescent="0.15">
      <c r="I227" s="38"/>
      <c r="J227" s="38"/>
    </row>
    <row r="228" spans="9:10" ht="15.75" customHeight="1" x14ac:dyDescent="0.15">
      <c r="I228" s="38"/>
      <c r="J228" s="38"/>
    </row>
  </sheetData>
  <mergeCells count="5">
    <mergeCell ref="B2:J2"/>
    <mergeCell ref="B3:G3"/>
    <mergeCell ref="B215:G215"/>
    <mergeCell ref="I3:J3"/>
    <mergeCell ref="J5:J214"/>
  </mergeCells>
  <phoneticPr fontId="0" type="noConversion"/>
  <pageMargins left="0.7" right="0.7" top="0.75" bottom="0.75" header="0" footer="0"/>
  <pageSetup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7"/>
  <sheetViews>
    <sheetView showGridLines="0" workbookViewId="0">
      <selection activeCell="E19" sqref="E19"/>
    </sheetView>
  </sheetViews>
  <sheetFormatPr baseColWidth="10" defaultColWidth="11.5" defaultRowHeight="15.75" customHeight="1" x14ac:dyDescent="0.15"/>
  <cols>
    <col min="1" max="1" width="1.6640625" style="10" customWidth="1"/>
    <col min="2" max="2" width="20.5" style="10" customWidth="1"/>
    <col min="3" max="3" width="35.33203125" style="10" customWidth="1"/>
    <col min="4" max="16384" width="11.5" style="10"/>
  </cols>
  <sheetData>
    <row r="1" spans="2:5" ht="8" customHeight="1" thickBot="1" x14ac:dyDescent="0.2"/>
    <row r="2" spans="2:5" ht="32" customHeight="1" thickBot="1" x14ac:dyDescent="0.2">
      <c r="B2" s="114" t="s">
        <v>128</v>
      </c>
      <c r="C2" s="115"/>
      <c r="D2" s="115"/>
      <c r="E2" s="116"/>
    </row>
    <row r="3" spans="2:5" ht="27.75" customHeight="1" thickBot="1" x14ac:dyDescent="0.2">
      <c r="B3" s="137" t="s">
        <v>129</v>
      </c>
      <c r="C3" s="138"/>
      <c r="D3" s="138"/>
      <c r="E3" s="139"/>
    </row>
    <row r="4" spans="2:5" ht="27.75" customHeight="1" x14ac:dyDescent="0.15">
      <c r="B4" s="140" t="s">
        <v>79</v>
      </c>
      <c r="C4" s="141"/>
      <c r="D4" s="87" t="s">
        <v>19</v>
      </c>
      <c r="E4" s="88" t="s">
        <v>20</v>
      </c>
    </row>
    <row r="5" spans="2:5" ht="3.75" customHeight="1" x14ac:dyDescent="0.15">
      <c r="B5" s="44"/>
      <c r="C5" s="45"/>
      <c r="D5" s="45"/>
      <c r="E5" s="64"/>
    </row>
    <row r="6" spans="2:5" ht="3.75" customHeight="1" x14ac:dyDescent="0.15">
      <c r="B6" s="44"/>
      <c r="C6" s="45"/>
      <c r="D6" s="45"/>
      <c r="E6" s="65"/>
    </row>
    <row r="7" spans="2:5" ht="15.75" customHeight="1" x14ac:dyDescent="0.15">
      <c r="B7" s="134" t="s">
        <v>122</v>
      </c>
      <c r="C7" s="47" t="s">
        <v>38</v>
      </c>
      <c r="D7" s="48" t="s">
        <v>80</v>
      </c>
      <c r="E7" s="50">
        <v>1</v>
      </c>
    </row>
    <row r="8" spans="2:5" ht="15.75" customHeight="1" x14ac:dyDescent="0.15">
      <c r="B8" s="135"/>
      <c r="C8" s="47" t="s">
        <v>39</v>
      </c>
      <c r="D8" s="48" t="s">
        <v>82</v>
      </c>
      <c r="E8" s="50">
        <v>1.3</v>
      </c>
    </row>
    <row r="9" spans="2:5" ht="15.75" customHeight="1" x14ac:dyDescent="0.15">
      <c r="B9" s="135"/>
      <c r="C9" s="47" t="s">
        <v>72</v>
      </c>
      <c r="D9" s="48" t="s">
        <v>81</v>
      </c>
      <c r="E9" s="50">
        <v>1.7</v>
      </c>
    </row>
    <row r="10" spans="2:5" ht="15.75" customHeight="1" x14ac:dyDescent="0.15">
      <c r="B10" s="117"/>
      <c r="C10" s="47" t="s">
        <v>41</v>
      </c>
      <c r="D10" s="48" t="s">
        <v>83</v>
      </c>
      <c r="E10" s="50">
        <v>2.5</v>
      </c>
    </row>
    <row r="11" spans="2:5" ht="3.75" customHeight="1" x14ac:dyDescent="0.15">
      <c r="B11" s="44"/>
      <c r="C11" s="45"/>
      <c r="D11" s="45"/>
      <c r="E11" s="65"/>
    </row>
    <row r="12" spans="2:5" ht="15.75" customHeight="1" x14ac:dyDescent="0.15">
      <c r="B12" s="134" t="s">
        <v>121</v>
      </c>
      <c r="C12" s="47" t="s">
        <v>73</v>
      </c>
      <c r="D12" s="48" t="s">
        <v>84</v>
      </c>
      <c r="E12" s="50">
        <v>1</v>
      </c>
    </row>
    <row r="13" spans="2:5" ht="15.75" customHeight="1" x14ac:dyDescent="0.15">
      <c r="B13" s="135"/>
      <c r="C13" s="47" t="s">
        <v>74</v>
      </c>
      <c r="D13" s="48" t="s">
        <v>85</v>
      </c>
      <c r="E13" s="50">
        <v>1.2</v>
      </c>
    </row>
    <row r="14" spans="2:5" ht="15.75" customHeight="1" x14ac:dyDescent="0.15">
      <c r="B14" s="135"/>
      <c r="C14" s="47" t="s">
        <v>75</v>
      </c>
      <c r="D14" s="48" t="s">
        <v>86</v>
      </c>
      <c r="E14" s="50">
        <v>1.3</v>
      </c>
    </row>
    <row r="15" spans="2:5" ht="15.75" customHeight="1" thickBot="1" x14ac:dyDescent="0.2">
      <c r="B15" s="136"/>
      <c r="C15" s="55" t="s">
        <v>76</v>
      </c>
      <c r="D15" s="56" t="s">
        <v>87</v>
      </c>
      <c r="E15" s="57">
        <v>2</v>
      </c>
    </row>
    <row r="16" spans="2:5" ht="15.75" customHeight="1" x14ac:dyDescent="0.15">
      <c r="D16" s="66"/>
    </row>
    <row r="17" spans="4:4" ht="15.75" customHeight="1" x14ac:dyDescent="0.15">
      <c r="D17" s="66"/>
    </row>
  </sheetData>
  <mergeCells count="5">
    <mergeCell ref="B12:B15"/>
    <mergeCell ref="B7:B10"/>
    <mergeCell ref="B2:E2"/>
    <mergeCell ref="B3:E3"/>
    <mergeCell ref="B4:C4"/>
  </mergeCells>
  <phoneticPr fontId="0" type="noConversion"/>
  <pageMargins left="0.7" right="0.7" top="0.75" bottom="0.75" header="0" footer="0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J14"/>
  <sheetViews>
    <sheetView showGridLines="0" zoomScale="75" workbookViewId="0">
      <selection activeCell="E9" sqref="E9"/>
    </sheetView>
  </sheetViews>
  <sheetFormatPr baseColWidth="10" defaultColWidth="11.5" defaultRowHeight="15.75" customHeight="1" x14ac:dyDescent="0.15"/>
  <cols>
    <col min="1" max="1" width="1.6640625" style="10" customWidth="1"/>
    <col min="2" max="2" width="6.33203125" style="10" customWidth="1"/>
    <col min="3" max="3" width="28.1640625" style="10" customWidth="1"/>
    <col min="4" max="4" width="7.33203125" style="10" customWidth="1"/>
    <col min="5" max="5" width="10.5" style="10" customWidth="1"/>
    <col min="6" max="6" width="8.6640625" style="10" customWidth="1"/>
    <col min="7" max="8" width="11.33203125" style="10" customWidth="1"/>
    <col min="9" max="9" width="14.33203125" style="1" customWidth="1"/>
    <col min="10" max="10" width="14.5" style="1" customWidth="1"/>
    <col min="11" max="16384" width="11.5" style="10"/>
  </cols>
  <sheetData>
    <row r="1" spans="2:10" ht="8" customHeight="1" x14ac:dyDescent="0.15"/>
    <row r="2" spans="2:10" ht="32" customHeight="1" thickBot="1" x14ac:dyDescent="0.2">
      <c r="B2" s="145" t="s">
        <v>96</v>
      </c>
      <c r="C2" s="146"/>
      <c r="D2" s="146"/>
      <c r="E2" s="146"/>
      <c r="F2" s="146"/>
      <c r="G2" s="146"/>
      <c r="H2" s="146"/>
      <c r="I2" s="146"/>
      <c r="J2" s="146"/>
    </row>
    <row r="3" spans="2:10" ht="27.75" customHeight="1" thickBot="1" x14ac:dyDescent="0.2">
      <c r="B3" s="142" t="s">
        <v>124</v>
      </c>
      <c r="C3" s="143"/>
      <c r="D3" s="143"/>
      <c r="E3" s="143"/>
      <c r="F3" s="143"/>
      <c r="G3" s="143"/>
      <c r="H3" s="89">
        <f>SUM(H5:H13)</f>
        <v>0</v>
      </c>
      <c r="I3" s="95" t="s">
        <v>133</v>
      </c>
      <c r="J3" s="96"/>
    </row>
    <row r="4" spans="2:10" ht="30" customHeight="1" thickBot="1" x14ac:dyDescent="0.2">
      <c r="B4" s="79" t="s">
        <v>7</v>
      </c>
      <c r="C4" s="5" t="s">
        <v>97</v>
      </c>
      <c r="D4" s="5" t="s">
        <v>90</v>
      </c>
      <c r="E4" s="5" t="s">
        <v>77</v>
      </c>
      <c r="F4" s="5" t="s">
        <v>91</v>
      </c>
      <c r="G4" s="80" t="s">
        <v>123</v>
      </c>
      <c r="H4" s="80" t="s">
        <v>130</v>
      </c>
      <c r="I4" s="4" t="s">
        <v>132</v>
      </c>
      <c r="J4" s="5" t="s">
        <v>134</v>
      </c>
    </row>
    <row r="5" spans="2:10" ht="15.75" customHeight="1" x14ac:dyDescent="0.15">
      <c r="B5" s="67">
        <v>1</v>
      </c>
      <c r="C5" s="47" t="s">
        <v>92</v>
      </c>
      <c r="D5" s="68">
        <f>+'Estimación de Tamaño'!M3</f>
        <v>0</v>
      </c>
      <c r="E5" s="68">
        <f>+'Estimación de Esfuerzo'!H3</f>
        <v>0</v>
      </c>
      <c r="F5" s="69">
        <v>0.05</v>
      </c>
      <c r="G5" s="70">
        <f>+'Estimación de Esfuerzo'!H3*F5</f>
        <v>0</v>
      </c>
      <c r="H5" s="71">
        <f>+G5</f>
        <v>0</v>
      </c>
      <c r="I5" s="72"/>
      <c r="J5" s="132"/>
    </row>
    <row r="6" spans="2:10" ht="15.75" customHeight="1" x14ac:dyDescent="0.15">
      <c r="B6" s="67">
        <v>2</v>
      </c>
      <c r="C6" s="47" t="s">
        <v>93</v>
      </c>
      <c r="D6" s="68">
        <f>+'Estimación de Tamaño'!M3</f>
        <v>0</v>
      </c>
      <c r="E6" s="68">
        <f>+'Estimación de Esfuerzo'!H3</f>
        <v>0</v>
      </c>
      <c r="F6" s="69">
        <v>0.3</v>
      </c>
      <c r="G6" s="70">
        <f>+'Estimación de Esfuerzo'!H3*F6</f>
        <v>0</v>
      </c>
      <c r="H6" s="71">
        <f>+G6</f>
        <v>0</v>
      </c>
      <c r="I6" s="21"/>
      <c r="J6" s="133"/>
    </row>
    <row r="7" spans="2:10" ht="15.75" customHeight="1" x14ac:dyDescent="0.15">
      <c r="B7" s="67">
        <v>3</v>
      </c>
      <c r="C7" s="47" t="s">
        <v>94</v>
      </c>
      <c r="D7" s="68">
        <f>+'Estimación de Tamaño'!M3</f>
        <v>0</v>
      </c>
      <c r="E7" s="68">
        <f>+'Estimación de Esfuerzo'!H3</f>
        <v>0</v>
      </c>
      <c r="F7" s="69">
        <v>0.2</v>
      </c>
      <c r="G7" s="70">
        <f>+'Estimación de Esfuerzo'!H3*F7</f>
        <v>0</v>
      </c>
      <c r="H7" s="71">
        <f>+G7</f>
        <v>0</v>
      </c>
      <c r="I7" s="21"/>
      <c r="J7" s="133"/>
    </row>
    <row r="8" spans="2:10" ht="15.75" customHeight="1" x14ac:dyDescent="0.15">
      <c r="B8" s="81">
        <v>4</v>
      </c>
      <c r="C8" s="82" t="s">
        <v>0</v>
      </c>
      <c r="D8" s="83">
        <f>+'Estimación de Tamaño'!M3</f>
        <v>0</v>
      </c>
      <c r="E8" s="83">
        <f>+'Estimación de Esfuerzo'!H3</f>
        <v>0</v>
      </c>
      <c r="F8" s="84">
        <v>1</v>
      </c>
      <c r="G8" s="85">
        <f>+'Estimación de Esfuerzo'!H3*F8</f>
        <v>0</v>
      </c>
      <c r="H8" s="86">
        <f>+G8</f>
        <v>0</v>
      </c>
      <c r="I8" s="21"/>
      <c r="J8" s="133"/>
    </row>
    <row r="9" spans="2:10" ht="15.75" customHeight="1" x14ac:dyDescent="0.15">
      <c r="B9" s="67">
        <v>5</v>
      </c>
      <c r="C9" s="47" t="s">
        <v>1</v>
      </c>
      <c r="D9" s="68">
        <f>+'Estimación de Tamaño'!M3</f>
        <v>0</v>
      </c>
      <c r="E9" s="68">
        <f>+'Estimación de Esfuerzo'!H3</f>
        <v>0</v>
      </c>
      <c r="F9" s="69">
        <v>0.3</v>
      </c>
      <c r="G9" s="70">
        <f>+'Estimación de Esfuerzo'!H3*F9</f>
        <v>0</v>
      </c>
      <c r="H9" s="71">
        <f>+G9</f>
        <v>0</v>
      </c>
      <c r="I9" s="21"/>
      <c r="J9" s="133"/>
    </row>
    <row r="10" spans="2:10" ht="15.75" customHeight="1" x14ac:dyDescent="0.15">
      <c r="B10" s="67">
        <v>6</v>
      </c>
      <c r="C10" s="47" t="s">
        <v>2</v>
      </c>
      <c r="D10" s="68">
        <f>+'Estimación de Tamaño'!M3</f>
        <v>0</v>
      </c>
      <c r="E10" s="68">
        <f>+'Estimación de Esfuerzo'!H3</f>
        <v>0</v>
      </c>
      <c r="F10" s="69">
        <v>0.05</v>
      </c>
      <c r="G10" s="70">
        <f>+'Estimación de Esfuerzo'!H3*F10</f>
        <v>0</v>
      </c>
      <c r="H10" s="71">
        <f>+G10</f>
        <v>0</v>
      </c>
      <c r="I10" s="21"/>
      <c r="J10" s="133"/>
    </row>
    <row r="11" spans="2:10" ht="15.75" customHeight="1" x14ac:dyDescent="0.15">
      <c r="B11" s="67">
        <v>7</v>
      </c>
      <c r="C11" s="47" t="s">
        <v>3</v>
      </c>
      <c r="D11" s="68">
        <f>+'Estimación de Tamaño'!M3</f>
        <v>0</v>
      </c>
      <c r="E11" s="68">
        <f>+'Estimación de Esfuerzo'!H3</f>
        <v>0</v>
      </c>
      <c r="F11" s="69">
        <v>0.1</v>
      </c>
      <c r="G11" s="70">
        <f>+'Estimación de Esfuerzo'!H3*F11</f>
        <v>0</v>
      </c>
      <c r="H11" s="71">
        <f>+G11</f>
        <v>0</v>
      </c>
      <c r="I11" s="21"/>
      <c r="J11" s="133"/>
    </row>
    <row r="12" spans="2:10" ht="15.75" customHeight="1" x14ac:dyDescent="0.15">
      <c r="B12" s="67">
        <v>8</v>
      </c>
      <c r="C12" s="47" t="s">
        <v>95</v>
      </c>
      <c r="D12" s="68">
        <f>+'Estimación de Tamaño'!M3</f>
        <v>0</v>
      </c>
      <c r="E12" s="68">
        <f>+'Estimación de Esfuerzo'!H3</f>
        <v>0</v>
      </c>
      <c r="F12" s="69">
        <v>0.05</v>
      </c>
      <c r="G12" s="70">
        <f>+'Estimación de Esfuerzo'!H3*F12</f>
        <v>0</v>
      </c>
      <c r="H12" s="71">
        <f>+G12</f>
        <v>0</v>
      </c>
      <c r="I12" s="21"/>
      <c r="J12" s="133"/>
    </row>
    <row r="13" spans="2:10" ht="15.75" customHeight="1" thickBot="1" x14ac:dyDescent="0.2">
      <c r="B13" s="73">
        <v>9</v>
      </c>
      <c r="C13" s="55" t="s">
        <v>4</v>
      </c>
      <c r="D13" s="74">
        <f>+'Estimación de Tamaño'!M3</f>
        <v>0</v>
      </c>
      <c r="E13" s="74">
        <f>+'Estimación de Esfuerzo'!H3</f>
        <v>0</v>
      </c>
      <c r="F13" s="75">
        <v>0.15</v>
      </c>
      <c r="G13" s="76">
        <f>+'Estimación de Esfuerzo'!H3*F13</f>
        <v>0</v>
      </c>
      <c r="H13" s="77">
        <f>+G13</f>
        <v>0</v>
      </c>
      <c r="I13" s="29"/>
      <c r="J13" s="144"/>
    </row>
    <row r="14" spans="2:10" ht="15.75" customHeight="1" x14ac:dyDescent="0.15">
      <c r="G14" s="78"/>
      <c r="H14" s="78"/>
    </row>
  </sheetData>
  <mergeCells count="4">
    <mergeCell ref="B3:G3"/>
    <mergeCell ref="I3:J3"/>
    <mergeCell ref="J5:J13"/>
    <mergeCell ref="B2:J2"/>
  </mergeCells>
  <phoneticPr fontId="0" type="noConversion"/>
  <pageMargins left="0.7" right="0.7" top="0.75" bottom="0.75" header="0" footer="0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Estimación de Tamaño</vt:lpstr>
      <vt:lpstr>Parámetros de Tamaño</vt:lpstr>
      <vt:lpstr>Estimación de Esfuerzo</vt:lpstr>
      <vt:lpstr>Parámetros de Esfuerzo</vt:lpstr>
      <vt:lpstr>Estimación de Tiempo</vt:lpstr>
    </vt:vector>
  </TitlesOfParts>
  <Manager/>
  <Company>Cluster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Usuario de Microsoft Office</cp:lastModifiedBy>
  <cp:lastPrinted>2000-11-28T21:21:28Z</cp:lastPrinted>
  <dcterms:created xsi:type="dcterms:W3CDTF">2000-11-24T14:21:14Z</dcterms:created>
  <dcterms:modified xsi:type="dcterms:W3CDTF">2018-04-18T23:59:09Z</dcterms:modified>
  <cp:category/>
</cp:coreProperties>
</file>